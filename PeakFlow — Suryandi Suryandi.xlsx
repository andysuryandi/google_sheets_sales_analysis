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eakflow_q1_2025_dirty" sheetId="1" r:id="rId4"/>
    <sheet state="visible" name="Geschäfte" sheetId="2" r:id="rId5"/>
    <sheet state="visible" name="Zusammenfassung" sheetId="3" r:id="rId6"/>
    <sheet state="visible" name="Pivot-Tabellen" sheetId="4" r:id="rId7"/>
    <sheet state="visible" name="Top-Performer" sheetId="5" r:id="rId8"/>
    <sheet state="visible" name="Diagramme" sheetId="6" r:id="rId9"/>
    <sheet state="visible" name="README" sheetId="7" r:id="rId10"/>
  </sheets>
  <definedNames/>
  <calcPr/>
  <pivotCaches>
    <pivotCache cacheId="0" r:id="rId11"/>
  </pivotCaches>
  <extLst>
    <ext uri="GoogleSheetsCustomDataVersion2">
      <go:sheetsCustomData xmlns:go="http://customooxmlschemas.google.com/" r:id="rId12" roundtripDataChecksum="gHhr0/yo5q+WkUGsvR2VdP577d3sEhUXujxkGUnG6VA="/>
    </ext>
  </extLst>
</workbook>
</file>

<file path=xl/sharedStrings.xml><?xml version="1.0" encoding="utf-8"?>
<sst xmlns="http://schemas.openxmlformats.org/spreadsheetml/2006/main" count="2200" uniqueCount="829">
  <si>
    <t>DealID</t>
  </si>
  <si>
    <t>PeakFlow Q1 2025 - bereinigte Geschäftsdaten</t>
  </si>
  <si>
    <t>Date</t>
  </si>
  <si>
    <t>CustomerName</t>
  </si>
  <si>
    <t>CategoryName</t>
  </si>
  <si>
    <t>PeakFlow Q1 2025 – Zusammenfassung</t>
  </si>
  <si>
    <t>SalesRep</t>
  </si>
  <si>
    <t>Manager</t>
  </si>
  <si>
    <t>Region</t>
  </si>
  <si>
    <t>Units</t>
  </si>
  <si>
    <t>UnitPrice</t>
  </si>
  <si>
    <t>Revenue</t>
  </si>
  <si>
    <t>D-1088</t>
  </si>
  <si>
    <t xml:space="preserve">Hilfstabelle für Streudiagramm </t>
  </si>
  <si>
    <t>Helix Systems</t>
  </si>
  <si>
    <t>Starter Plan</t>
  </si>
  <si>
    <t>Nina Petrov</t>
  </si>
  <si>
    <t>Lukas Becker</t>
  </si>
  <si>
    <t>North America</t>
  </si>
  <si>
    <t>44.27</t>
  </si>
  <si>
    <t>88.54</t>
  </si>
  <si>
    <t>D-1108</t>
  </si>
  <si>
    <t>Meridian Group</t>
  </si>
  <si>
    <t>Pro Plan</t>
  </si>
  <si>
    <t>Tom Wilson</t>
  </si>
  <si>
    <t>224.49</t>
  </si>
  <si>
    <t>Vertriebsmitarbeiter x Kategorie</t>
  </si>
  <si>
    <t>Vertriebsmitarbeiter x Region</t>
  </si>
  <si>
    <t>D-1230</t>
  </si>
  <si>
    <t>Fusion Group</t>
  </si>
  <si>
    <t>Marcus Johnson</t>
  </si>
  <si>
    <t>Sarah Chen</t>
  </si>
  <si>
    <t>LATAM</t>
  </si>
  <si>
    <t>248.58</t>
  </si>
  <si>
    <t>$497.16</t>
  </si>
  <si>
    <t>D-1035</t>
  </si>
  <si>
    <t>Nova Inc</t>
  </si>
  <si>
    <t>Hauptkennzahlen</t>
  </si>
  <si>
    <t>Add-on: Support</t>
  </si>
  <si>
    <t>Elena Rossi</t>
  </si>
  <si>
    <t>EMEA</t>
  </si>
  <si>
    <t>112.19</t>
  </si>
  <si>
    <t>D-1152</t>
  </si>
  <si>
    <t>Catalyst Inc</t>
  </si>
  <si>
    <t>73.94</t>
  </si>
  <si>
    <t>D-1202</t>
  </si>
  <si>
    <t>Nimbus Co</t>
  </si>
  <si>
    <t>Business Plan</t>
  </si>
  <si>
    <t>James Park</t>
  </si>
  <si>
    <t>Anzahl der Geschäfte</t>
  </si>
  <si>
    <t>Owen Walsh</t>
  </si>
  <si>
    <t>369.19</t>
  </si>
  <si>
    <t>1845.95</t>
  </si>
  <si>
    <t>Monat</t>
  </si>
  <si>
    <t>Add-On: Analytics Units</t>
  </si>
  <si>
    <t>D-1249</t>
  </si>
  <si>
    <t>Add-On: Analytics Price</t>
  </si>
  <si>
    <t>Summit Group</t>
  </si>
  <si>
    <t>Enterprise Plan</t>
  </si>
  <si>
    <t xml:space="preserve">Add on: Support Unit </t>
  </si>
  <si>
    <t xml:space="preserve">Add on: Support Unit Price </t>
  </si>
  <si>
    <t>1198.59</t>
  </si>
  <si>
    <t>Business Plan Unit</t>
  </si>
  <si>
    <t>D-1054</t>
  </si>
  <si>
    <t xml:space="preserve">Business Plan Unit Price </t>
  </si>
  <si>
    <t>Northwind Co</t>
  </si>
  <si>
    <t>Enterprise Plan Unit</t>
  </si>
  <si>
    <t>David Kim</t>
  </si>
  <si>
    <t>Enterprise Unit Price</t>
  </si>
  <si>
    <t>1182.78</t>
  </si>
  <si>
    <t>Pro Plan Unit</t>
  </si>
  <si>
    <t>2365.56</t>
  </si>
  <si>
    <t>D-1102</t>
  </si>
  <si>
    <t>Pro Plan Unit Price</t>
  </si>
  <si>
    <t>Lumen Labs</t>
  </si>
  <si>
    <t>Starter Plan Unit</t>
  </si>
  <si>
    <t>Carlos Mendez</t>
  </si>
  <si>
    <t>Maya Rodriguez</t>
  </si>
  <si>
    <t>Starter Plan Unit Price</t>
  </si>
  <si>
    <t>68.06</t>
  </si>
  <si>
    <t>D-1115</t>
  </si>
  <si>
    <t>Kestrel Co</t>
  </si>
  <si>
    <t>APAC</t>
  </si>
  <si>
    <t>118.97</t>
  </si>
  <si>
    <t>237.94</t>
  </si>
  <si>
    <t>D-1138</t>
  </si>
  <si>
    <t>53.28</t>
  </si>
  <si>
    <t>266.4</t>
  </si>
  <si>
    <t>D-1231</t>
  </si>
  <si>
    <t>Borealis Co</t>
  </si>
  <si>
    <t>992.76</t>
  </si>
  <si>
    <t>Gesamtumsatz</t>
  </si>
  <si>
    <t>D-1008</t>
  </si>
  <si>
    <t>Phoenix Co</t>
  </si>
  <si>
    <t>latam</t>
  </si>
  <si>
    <t>249.04</t>
  </si>
  <si>
    <t>D-1071</t>
  </si>
  <si>
    <t>Apex Group</t>
  </si>
  <si>
    <t>386.52</t>
  </si>
  <si>
    <t>D-1105</t>
  </si>
  <si>
    <t>226.12</t>
  </si>
  <si>
    <t>$226.12</t>
  </si>
  <si>
    <t>D-1110</t>
  </si>
  <si>
    <t>Rivet Co</t>
  </si>
  <si>
    <t>Durchschnittlicher Deal</t>
  </si>
  <si>
    <t>73.28</t>
  </si>
  <si>
    <t>D-1112</t>
  </si>
  <si>
    <t>Hannah Lee</t>
  </si>
  <si>
    <t>45.99</t>
  </si>
  <si>
    <t>$229.95</t>
  </si>
  <si>
    <t>D-1132</t>
  </si>
  <si>
    <t>Quanta Labs</t>
  </si>
  <si>
    <t>70.68</t>
  </si>
  <si>
    <t>$3,534.00</t>
  </si>
  <si>
    <t>D-1150</t>
  </si>
  <si>
    <t>192.21</t>
  </si>
  <si>
    <t>D-1194</t>
  </si>
  <si>
    <t>Onyx Group</t>
  </si>
  <si>
    <t>Sophie Laurent</t>
  </si>
  <si>
    <t>Median</t>
  </si>
  <si>
    <t>193.5</t>
  </si>
  <si>
    <t>$387.00</t>
  </si>
  <si>
    <t>D-1091</t>
  </si>
  <si>
    <t>53.39</t>
  </si>
  <si>
    <t>$53.39</t>
  </si>
  <si>
    <t>D-1092</t>
  </si>
  <si>
    <t>202.22</t>
  </si>
  <si>
    <t>D-1211</t>
  </si>
  <si>
    <t>Add-on: Analytics</t>
  </si>
  <si>
    <t>69.69</t>
  </si>
  <si>
    <t>$348.45</t>
  </si>
  <si>
    <t>D-1063</t>
  </si>
  <si>
    <t>Granite Co</t>
  </si>
  <si>
    <t>93.27</t>
  </si>
  <si>
    <t>D-1206</t>
  </si>
  <si>
    <t>Stellar Co</t>
  </si>
  <si>
    <t>74.69</t>
  </si>
  <si>
    <t>373.45</t>
  </si>
  <si>
    <t>D-1123</t>
  </si>
  <si>
    <t>SUM of Revenue</t>
  </si>
  <si>
    <t>92.92</t>
  </si>
  <si>
    <t>D-1121</t>
  </si>
  <si>
    <t>Priya Patel</t>
  </si>
  <si>
    <t>1388.69</t>
  </si>
  <si>
    <t>$1,388.69</t>
  </si>
  <si>
    <t>Minimum</t>
  </si>
  <si>
    <t>D-1029</t>
  </si>
  <si>
    <t>Cascade Group</t>
  </si>
  <si>
    <t>72.26</t>
  </si>
  <si>
    <t>3613.0</t>
  </si>
  <si>
    <t>D-1141</t>
  </si>
  <si>
    <t>Maximum</t>
  </si>
  <si>
    <t>1234.13</t>
  </si>
  <si>
    <t>$1234.13</t>
  </si>
  <si>
    <t>D-1155</t>
  </si>
  <si>
    <t>Juniper Group</t>
  </si>
  <si>
    <t>219.47</t>
  </si>
  <si>
    <t>D-1209</t>
  </si>
  <si>
    <t>Lattice Co</t>
  </si>
  <si>
    <t>276.18</t>
  </si>
  <si>
    <t>$276.18</t>
  </si>
  <si>
    <t>D-1215</t>
  </si>
  <si>
    <t>Spannweite</t>
  </si>
  <si>
    <t>63.25</t>
  </si>
  <si>
    <t>1265.0</t>
  </si>
  <si>
    <t>D-1250</t>
  </si>
  <si>
    <t>70.61</t>
  </si>
  <si>
    <t>Standardabweichung</t>
  </si>
  <si>
    <t>Add-On: Analytics</t>
  </si>
  <si>
    <t>Add-On: Support</t>
  </si>
  <si>
    <t>Gesamtsumme</t>
  </si>
  <si>
    <t>Q1</t>
  </si>
  <si>
    <t>Q3</t>
  </si>
  <si>
    <t>Aisha Hassan</t>
  </si>
  <si>
    <t>Interquartilsabstand</t>
  </si>
  <si>
    <t>Raj Sharma</t>
  </si>
  <si>
    <t>Der Durchschnitt beträgt 1.458,54 $, der Median aber nur 386,76 $. Der deutlich höhere Durchschnitt zeigt, dass einige sehr große Geschäfte den Durchschnitt nach oben ziehen. Die Verteilung der Geschäftsgrößen ist deshalb rechtsschief.</t>
  </si>
  <si>
    <t>Umsatz nach Monat</t>
  </si>
  <si>
    <t>Gesamtsumsatz</t>
  </si>
  <si>
    <t>Durchschnitt</t>
  </si>
  <si>
    <t>Januar</t>
  </si>
  <si>
    <t>Februar</t>
  </si>
  <si>
    <t>März</t>
  </si>
  <si>
    <t>Gesamt</t>
  </si>
  <si>
    <t>Umsatz nach Region</t>
  </si>
  <si>
    <t>D-1066</t>
  </si>
  <si>
    <t>171.17</t>
  </si>
  <si>
    <t>342.34</t>
  </si>
  <si>
    <t>D-1153</t>
  </si>
  <si>
    <t>Beacon Labs</t>
  </si>
  <si>
    <t>north america</t>
  </si>
  <si>
    <t>161.18</t>
  </si>
  <si>
    <t>D-1180</t>
  </si>
  <si>
    <t>95.39</t>
  </si>
  <si>
    <t>D-1219</t>
  </si>
  <si>
    <t>63.23</t>
  </si>
  <si>
    <t>D-1001</t>
  </si>
  <si>
    <t>45.33</t>
  </si>
  <si>
    <t>D-1009</t>
  </si>
  <si>
    <t>Foundry Group</t>
  </si>
  <si>
    <t>213.81</t>
  </si>
  <si>
    <t>D-1187</t>
  </si>
  <si>
    <t>251.17</t>
  </si>
  <si>
    <t>502.34</t>
  </si>
  <si>
    <t>D-1220</t>
  </si>
  <si>
    <t>Echo Labs</t>
  </si>
  <si>
    <t>92.43</t>
  </si>
  <si>
    <t>D-1058</t>
  </si>
  <si>
    <t>422.7</t>
  </si>
  <si>
    <t>D-1229</t>
  </si>
  <si>
    <t>Arcadia Inc</t>
  </si>
  <si>
    <t>409.02</t>
  </si>
  <si>
    <t>818.04</t>
  </si>
  <si>
    <t>D-1245</t>
  </si>
  <si>
    <t>Quill Labs</t>
  </si>
  <si>
    <t>177.21</t>
  </si>
  <si>
    <t>$886.05</t>
  </si>
  <si>
    <t>D-1075</t>
  </si>
  <si>
    <t>230.19</t>
  </si>
  <si>
    <t>$1,150.95</t>
  </si>
  <si>
    <t>D-1079</t>
  </si>
  <si>
    <t>66.71</t>
  </si>
  <si>
    <t>D-1169</t>
  </si>
  <si>
    <t>Quartz Co</t>
  </si>
  <si>
    <t>426.07</t>
  </si>
  <si>
    <t>$426.07</t>
  </si>
  <si>
    <t>D-1234</t>
  </si>
  <si>
    <t>Pacific Co</t>
  </si>
  <si>
    <t>233.74</t>
  </si>
  <si>
    <t>$467.48</t>
  </si>
  <si>
    <t>D-1198</t>
  </si>
  <si>
    <t>emea</t>
  </si>
  <si>
    <t>420.94</t>
  </si>
  <si>
    <t>D-TEST1</t>
  </si>
  <si>
    <t>TEST</t>
  </si>
  <si>
    <t>Test Rep</t>
  </si>
  <si>
    <t>Test Manager</t>
  </si>
  <si>
    <t>1.0</t>
  </si>
  <si>
    <t>1.00</t>
  </si>
  <si>
    <t>D-1011</t>
  </si>
  <si>
    <t>Harbor Inc</t>
  </si>
  <si>
    <t>410.61</t>
  </si>
  <si>
    <t>D-1041</t>
  </si>
  <si>
    <t>451.68</t>
  </si>
  <si>
    <t>$451.68</t>
  </si>
  <si>
    <t>D-1106</t>
  </si>
  <si>
    <t>Vertex Inc</t>
  </si>
  <si>
    <t>1180.76</t>
  </si>
  <si>
    <t>23615.2</t>
  </si>
  <si>
    <t>D-1109</t>
  </si>
  <si>
    <t>214.71</t>
  </si>
  <si>
    <t>10735.5</t>
  </si>
  <si>
    <t>D-1172</t>
  </si>
  <si>
    <t>NORTH AMERICA</t>
  </si>
  <si>
    <t>82.73</t>
  </si>
  <si>
    <t>827.3</t>
  </si>
  <si>
    <t>D-1037</t>
  </si>
  <si>
    <t>389.23</t>
  </si>
  <si>
    <t>D-1148</t>
  </si>
  <si>
    <t>407.67</t>
  </si>
  <si>
    <t>D-1244</t>
  </si>
  <si>
    <t>295.34</t>
  </si>
  <si>
    <t>$295.34</t>
  </si>
  <si>
    <t>D-1182</t>
  </si>
  <si>
    <t>71.39</t>
  </si>
  <si>
    <t>713.9</t>
  </si>
  <si>
    <t>D-1012</t>
  </si>
  <si>
    <t>103.1</t>
  </si>
  <si>
    <t>515.5</t>
  </si>
  <si>
    <t>D-1067</t>
  </si>
  <si>
    <t>49.8</t>
  </si>
  <si>
    <t>$996.0</t>
  </si>
  <si>
    <t>D-1085</t>
  </si>
  <si>
    <t>Solstice Group</t>
  </si>
  <si>
    <t>58.38</t>
  </si>
  <si>
    <t>291.9</t>
  </si>
  <si>
    <t>D-1167</t>
  </si>
  <si>
    <t>404.19</t>
  </si>
  <si>
    <t>2020.95</t>
  </si>
  <si>
    <t>D-1197</t>
  </si>
  <si>
    <t>59.94</t>
  </si>
  <si>
    <t>$1,198.80</t>
  </si>
  <si>
    <t>D-1007</t>
  </si>
  <si>
    <t>146.67</t>
  </si>
  <si>
    <t>D-1048</t>
  </si>
  <si>
    <t>Orbit Co</t>
  </si>
  <si>
    <t>153.06</t>
  </si>
  <si>
    <t>306.12</t>
  </si>
  <si>
    <t>D-1082</t>
  </si>
  <si>
    <t>73.95</t>
  </si>
  <si>
    <t>D-1158</t>
  </si>
  <si>
    <t>67.43</t>
  </si>
  <si>
    <t>337.15</t>
  </si>
  <si>
    <t>D-1027</t>
  </si>
  <si>
    <t>79.13</t>
  </si>
  <si>
    <t>$1582.6</t>
  </si>
  <si>
    <t>D-1117</t>
  </si>
  <si>
    <t>189.77</t>
  </si>
  <si>
    <t>D-1125</t>
  </si>
  <si>
    <t>260.51</t>
  </si>
  <si>
    <t>D-1164</t>
  </si>
  <si>
    <t>Hifttabelle für die Sortierung nach Absteigend</t>
  </si>
  <si>
    <t>98.54</t>
  </si>
  <si>
    <t>$1,970.80</t>
  </si>
  <si>
    <t>D-1013</t>
  </si>
  <si>
    <t>46.97</t>
  </si>
  <si>
    <t>Top-Vertriebsmitarbeiter nach Gesamtanzahl der Geschäfte</t>
  </si>
  <si>
    <t>D-1144</t>
  </si>
  <si>
    <t>76.11</t>
  </si>
  <si>
    <t>D-1216</t>
  </si>
  <si>
    <t>256.91</t>
  </si>
  <si>
    <t>Rank</t>
  </si>
  <si>
    <t>D-1124</t>
  </si>
  <si>
    <t>425.85</t>
  </si>
  <si>
    <t>851.7</t>
  </si>
  <si>
    <t>D-1133</t>
  </si>
  <si>
    <t>Sales Rep</t>
  </si>
  <si>
    <t>132.73</t>
  </si>
  <si>
    <t>D-1235</t>
  </si>
  <si>
    <t>42.63</t>
  </si>
  <si>
    <t>$85.26</t>
  </si>
  <si>
    <t>D-1062</t>
  </si>
  <si>
    <t>53.37</t>
  </si>
  <si>
    <t>533.7</t>
  </si>
  <si>
    <t>D-1002</t>
  </si>
  <si>
    <t>243.59</t>
  </si>
  <si>
    <t>D-1006</t>
  </si>
  <si>
    <t>116.31</t>
  </si>
  <si>
    <t>$116.31</t>
  </si>
  <si>
    <t>D-1010</t>
  </si>
  <si>
    <t>Driftwood Co</t>
  </si>
  <si>
    <t>428.51</t>
  </si>
  <si>
    <t>D-1064</t>
  </si>
  <si>
    <t>BUSINESS PLAN</t>
  </si>
  <si>
    <t>61.21</t>
  </si>
  <si>
    <t>D-1190</t>
  </si>
  <si>
    <t>Prism Group</t>
  </si>
  <si>
    <t>154.79</t>
  </si>
  <si>
    <t>773.95</t>
  </si>
  <si>
    <t>D-1200</t>
  </si>
  <si>
    <t>402.09</t>
  </si>
  <si>
    <t>D-1221</t>
  </si>
  <si>
    <t>188.38</t>
  </si>
  <si>
    <t>376.76</t>
  </si>
  <si>
    <t>D-1224</t>
  </si>
  <si>
    <t>Verdant Inc</t>
  </si>
  <si>
    <t>195.73</t>
  </si>
  <si>
    <t>D-1093</t>
  </si>
  <si>
    <t>Obsidian Co</t>
  </si>
  <si>
    <t>487.09</t>
  </si>
  <si>
    <t>D-1003</t>
  </si>
  <si>
    <t>Citadel Group</t>
  </si>
  <si>
    <t>1330.75</t>
  </si>
  <si>
    <t>13307.5</t>
  </si>
  <si>
    <t>D-1107</t>
  </si>
  <si>
    <t>932.32</t>
  </si>
  <si>
    <t>46616.0</t>
  </si>
  <si>
    <t>D-1135</t>
  </si>
  <si>
    <t>493.26</t>
  </si>
  <si>
    <t>Umsatz nach Kategorie</t>
  </si>
  <si>
    <t>D-1131</t>
  </si>
  <si>
    <t>45.35</t>
  </si>
  <si>
    <t>226.75</t>
  </si>
  <si>
    <t>D-1142</t>
  </si>
  <si>
    <t>Kategorie</t>
  </si>
  <si>
    <t>479.31</t>
  </si>
  <si>
    <t>% Revenue</t>
  </si>
  <si>
    <t>D-1199</t>
  </si>
  <si>
    <t>49.17</t>
  </si>
  <si>
    <t>D-1014</t>
  </si>
  <si>
    <t>114.94</t>
  </si>
  <si>
    <t>$114.94</t>
  </si>
  <si>
    <t>D-1051</t>
  </si>
  <si>
    <t>1035.34</t>
  </si>
  <si>
    <t>2070.68</t>
  </si>
  <si>
    <t>D-1140</t>
  </si>
  <si>
    <t>122.21</t>
  </si>
  <si>
    <t>$244.42</t>
  </si>
  <si>
    <t>D-1178</t>
  </si>
  <si>
    <t>1004.37</t>
  </si>
  <si>
    <t>20087.4</t>
  </si>
  <si>
    <t>D-1146</t>
  </si>
  <si>
    <t>49.89</t>
  </si>
  <si>
    <t>99.78</t>
  </si>
  <si>
    <t>D-1059</t>
  </si>
  <si>
    <t>104.29</t>
  </si>
  <si>
    <t>D-1122</t>
  </si>
  <si>
    <t>107.07</t>
  </si>
  <si>
    <t>1070.7</t>
  </si>
  <si>
    <t>D-1134</t>
  </si>
  <si>
    <t>285.02</t>
  </si>
  <si>
    <t>$285.02</t>
  </si>
  <si>
    <t>D-1055</t>
  </si>
  <si>
    <t>42.45</t>
  </si>
  <si>
    <t>212.25</t>
  </si>
  <si>
    <t>D-1068</t>
  </si>
  <si>
    <t>53.74</t>
  </si>
  <si>
    <t>$53.74</t>
  </si>
  <si>
    <t>D-1083</t>
  </si>
  <si>
    <t>474.26</t>
  </si>
  <si>
    <t>$2371.3</t>
  </si>
  <si>
    <t>D-1073</t>
  </si>
  <si>
    <t>240.29</t>
  </si>
  <si>
    <t>$480.58</t>
  </si>
  <si>
    <t>D-1089</t>
  </si>
  <si>
    <t>973.3</t>
  </si>
  <si>
    <t>D-1161</t>
  </si>
  <si>
    <t>418.06</t>
  </si>
  <si>
    <t>$2,090.30</t>
  </si>
  <si>
    <t>D-1210</t>
  </si>
  <si>
    <t>431.34</t>
  </si>
  <si>
    <t>D-1101</t>
  </si>
  <si>
    <t>193.4</t>
  </si>
  <si>
    <t>$967.0</t>
  </si>
  <si>
    <t>D-1243</t>
  </si>
  <si>
    <t>249.29</t>
  </si>
  <si>
    <t>$1,246.45</t>
  </si>
  <si>
    <t>D-1015</t>
  </si>
  <si>
    <t>42.9</t>
  </si>
  <si>
    <t>D-1038</t>
  </si>
  <si>
    <t>184.49</t>
  </si>
  <si>
    <t>D-1232</t>
  </si>
  <si>
    <t>54.56</t>
  </si>
  <si>
    <t>$54.56</t>
  </si>
  <si>
    <t>D-1103</t>
  </si>
  <si>
    <t>45.13</t>
  </si>
  <si>
    <t>$90.26</t>
  </si>
  <si>
    <t>D-1116</t>
  </si>
  <si>
    <t>74.46</t>
  </si>
  <si>
    <t>D-1181</t>
  </si>
  <si>
    <t>235.36</t>
  </si>
  <si>
    <t>$235.36</t>
  </si>
  <si>
    <t>D-1207</t>
  </si>
  <si>
    <t>228.23</t>
  </si>
  <si>
    <t>D-1247</t>
  </si>
  <si>
    <t>81.9</t>
  </si>
  <si>
    <t>1638.0</t>
  </si>
  <si>
    <t>D-1044</t>
  </si>
  <si>
    <t>1118.07</t>
  </si>
  <si>
    <t>$11180.7</t>
  </si>
  <si>
    <t>D-1213</t>
  </si>
  <si>
    <t>440.61</t>
  </si>
  <si>
    <t>D-1100</t>
  </si>
  <si>
    <t>205.16</t>
  </si>
  <si>
    <t>D-1129</t>
  </si>
  <si>
    <t>Kinetic Labs</t>
  </si>
  <si>
    <t>57.44</t>
  </si>
  <si>
    <t>D-1191</t>
  </si>
  <si>
    <t>78.92</t>
  </si>
  <si>
    <t>$78.92</t>
  </si>
  <si>
    <t>D-1205</t>
  </si>
  <si>
    <t>410.14</t>
  </si>
  <si>
    <t>820.28</t>
  </si>
  <si>
    <t>D-1050</t>
  </si>
  <si>
    <t>Atlas Group</t>
  </si>
  <si>
    <t>52.69</t>
  </si>
  <si>
    <t>263.45</t>
  </si>
  <si>
    <t>D-1136</t>
  </si>
  <si>
    <t>110.27</t>
  </si>
  <si>
    <t>$1,102.70</t>
  </si>
  <si>
    <t>D-1099</t>
  </si>
  <si>
    <t>287.77</t>
  </si>
  <si>
    <t>$287.77</t>
  </si>
  <si>
    <t>D-1208</t>
  </si>
  <si>
    <t>Iris Co</t>
  </si>
  <si>
    <t>104.56</t>
  </si>
  <si>
    <t>D-1017</t>
  </si>
  <si>
    <t>1339.78</t>
  </si>
  <si>
    <t>D-1042</t>
  </si>
  <si>
    <t>60.51</t>
  </si>
  <si>
    <t>D-1045</t>
  </si>
  <si>
    <t>40.5</t>
  </si>
  <si>
    <t>202.5</t>
  </si>
  <si>
    <t>D-1195</t>
  </si>
  <si>
    <t>288.1</t>
  </si>
  <si>
    <t>5762.0</t>
  </si>
  <si>
    <t>D-1203</t>
  </si>
  <si>
    <t>415.25</t>
  </si>
  <si>
    <t>D-1239</t>
  </si>
  <si>
    <t>42.09</t>
  </si>
  <si>
    <t>84.18</t>
  </si>
  <si>
    <t>D-1154</t>
  </si>
  <si>
    <t>987.06</t>
  </si>
  <si>
    <t>D-1143</t>
  </si>
  <si>
    <t>72.12</t>
  </si>
  <si>
    <t>$144.24</t>
  </si>
  <si>
    <t>D-1214</t>
  </si>
  <si>
    <t>62.85</t>
  </si>
  <si>
    <t>D-TEST2</t>
  </si>
  <si>
    <t>QA Test</t>
  </si>
  <si>
    <t>QA User</t>
  </si>
  <si>
    <t>QA</t>
  </si>
  <si>
    <t>D-1016</t>
  </si>
  <si>
    <t>273.36</t>
  </si>
  <si>
    <t>546.72</t>
  </si>
  <si>
    <t>D-1031</t>
  </si>
  <si>
    <t>71.74</t>
  </si>
  <si>
    <t>3587.0</t>
  </si>
  <si>
    <t>D-1052</t>
  </si>
  <si>
    <t>490.82</t>
  </si>
  <si>
    <t>D-1087</t>
  </si>
  <si>
    <t>400.66</t>
  </si>
  <si>
    <t>801.32</t>
  </si>
  <si>
    <t>D-1119</t>
  </si>
  <si>
    <t>157.24</t>
  </si>
  <si>
    <t>786.2</t>
  </si>
  <si>
    <t>D-1175</t>
  </si>
  <si>
    <t>60.23</t>
  </si>
  <si>
    <t>D-1242</t>
  </si>
  <si>
    <t>46.99</t>
  </si>
  <si>
    <t>D-1114</t>
  </si>
  <si>
    <t>add-on: support</t>
  </si>
  <si>
    <t>43.17</t>
  </si>
  <si>
    <t>86.34</t>
  </si>
  <si>
    <t>D-1025</t>
  </si>
  <si>
    <t>75.66</t>
  </si>
  <si>
    <t>756.6</t>
  </si>
  <si>
    <t>D-1081</t>
  </si>
  <si>
    <t>377.71</t>
  </si>
  <si>
    <t>D-1113</t>
  </si>
  <si>
    <t>180.13</t>
  </si>
  <si>
    <t>360.26</t>
  </si>
  <si>
    <t>D-1149</t>
  </si>
  <si>
    <t>58.15</t>
  </si>
  <si>
    <t>581.5</t>
  </si>
  <si>
    <t>D-1005</t>
  </si>
  <si>
    <t>233.69</t>
  </si>
  <si>
    <t>D-1049</t>
  </si>
  <si>
    <t>67.42</t>
  </si>
  <si>
    <t>D-1097</t>
  </si>
  <si>
    <t>486.21</t>
  </si>
  <si>
    <t>D-1159</t>
  </si>
  <si>
    <t>985.63</t>
  </si>
  <si>
    <t>D-1095</t>
  </si>
  <si>
    <t>46.11</t>
  </si>
  <si>
    <t>92.22</t>
  </si>
  <si>
    <t>D-1236</t>
  </si>
  <si>
    <t>289.32</t>
  </si>
  <si>
    <t>1446.6</t>
  </si>
  <si>
    <t>D-1020</t>
  </si>
  <si>
    <t>162.02</t>
  </si>
  <si>
    <t>1620.2</t>
  </si>
  <si>
    <t>D-1023</t>
  </si>
  <si>
    <t>64.75</t>
  </si>
  <si>
    <t>$1,295.00</t>
  </si>
  <si>
    <t>D-1047</t>
  </si>
  <si>
    <t>Starter plan</t>
  </si>
  <si>
    <t>110.31</t>
  </si>
  <si>
    <t>D-1074</t>
  </si>
  <si>
    <t>70.58</t>
  </si>
  <si>
    <t>D-1240</t>
  </si>
  <si>
    <t>244.89</t>
  </si>
  <si>
    <t>D-1032</t>
  </si>
  <si>
    <t>Hilfstabelle</t>
  </si>
  <si>
    <t>45.23</t>
  </si>
  <si>
    <t>$45.23</t>
  </si>
  <si>
    <t>Top-Vertriebsmitarbeiter nach durchschnittlicher Deal-Größe</t>
  </si>
  <si>
    <t>D-1056</t>
  </si>
  <si>
    <t>77.48</t>
  </si>
  <si>
    <t xml:space="preserve">Durchschnitt </t>
  </si>
  <si>
    <t>$154.96</t>
  </si>
  <si>
    <t>D-1184</t>
  </si>
  <si>
    <t>259.85</t>
  </si>
  <si>
    <t>1299.25</t>
  </si>
  <si>
    <t>D-1217</t>
  </si>
  <si>
    <t>293.39</t>
  </si>
  <si>
    <t>$293.39</t>
  </si>
  <si>
    <t>D-1076</t>
  </si>
  <si>
    <t>288.79</t>
  </si>
  <si>
    <t>D-1170</t>
  </si>
  <si>
    <t>447.2</t>
  </si>
  <si>
    <t>894.4</t>
  </si>
  <si>
    <t>D-1171</t>
  </si>
  <si>
    <t>41.17</t>
  </si>
  <si>
    <t>$41.17</t>
  </si>
  <si>
    <t>D-1246</t>
  </si>
  <si>
    <t>481.6</t>
  </si>
  <si>
    <t>2408.0</t>
  </si>
  <si>
    <t>D-1028</t>
  </si>
  <si>
    <t>131.72</t>
  </si>
  <si>
    <t>658.6</t>
  </si>
  <si>
    <t>D-1033</t>
  </si>
  <si>
    <t>181.14</t>
  </si>
  <si>
    <t>$362.28</t>
  </si>
  <si>
    <t>D-1157</t>
  </si>
  <si>
    <t>185.31</t>
  </si>
  <si>
    <t>926.55</t>
  </si>
  <si>
    <t>D-1162</t>
  </si>
  <si>
    <t>262.29</t>
  </si>
  <si>
    <t>$524.58</t>
  </si>
  <si>
    <t>D-1179</t>
  </si>
  <si>
    <t>1309.46</t>
  </si>
  <si>
    <t>D-1226</t>
  </si>
  <si>
    <t>408.62</t>
  </si>
  <si>
    <t>$817.24</t>
  </si>
  <si>
    <t>D-1034</t>
  </si>
  <si>
    <t>65.03</t>
  </si>
  <si>
    <t>130.06</t>
  </si>
  <si>
    <t>D-1145</t>
  </si>
  <si>
    <t>498.06</t>
  </si>
  <si>
    <t>$498.06</t>
  </si>
  <si>
    <t>D-1021</t>
  </si>
  <si>
    <t>74.98</t>
  </si>
  <si>
    <t>$1499.6</t>
  </si>
  <si>
    <t>D-1104</t>
  </si>
  <si>
    <t>59.68</t>
  </si>
  <si>
    <t>D-1126</t>
  </si>
  <si>
    <t>170.37</t>
  </si>
  <si>
    <t>851.85</t>
  </si>
  <si>
    <t>D-1241</t>
  </si>
  <si>
    <t>250.52</t>
  </si>
  <si>
    <t>$2505.2</t>
  </si>
  <si>
    <t>D-1039</t>
  </si>
  <si>
    <t>47.54</t>
  </si>
  <si>
    <t>$47.54</t>
  </si>
  <si>
    <t>D-1111</t>
  </si>
  <si>
    <t>477.27</t>
  </si>
  <si>
    <t>$954.54</t>
  </si>
  <si>
    <t>D-1137</t>
  </si>
  <si>
    <t>222.01</t>
  </si>
  <si>
    <t>$2,220.10</t>
  </si>
  <si>
    <t>D-1237</t>
  </si>
  <si>
    <t>79.56</t>
  </si>
  <si>
    <t>$159.12</t>
  </si>
  <si>
    <t>D-1026</t>
  </si>
  <si>
    <t>150.54</t>
  </si>
  <si>
    <t>$752.70</t>
  </si>
  <si>
    <t>D-1084</t>
  </si>
  <si>
    <t>48.7</t>
  </si>
  <si>
    <t>97.4</t>
  </si>
  <si>
    <t>D-1174</t>
  </si>
  <si>
    <t>153.64</t>
  </si>
  <si>
    <t>D-1086</t>
  </si>
  <si>
    <t>203.26</t>
  </si>
  <si>
    <t>D-1094</t>
  </si>
  <si>
    <t>433.61</t>
  </si>
  <si>
    <t>D-1160</t>
  </si>
  <si>
    <t>186.32</t>
  </si>
  <si>
    <t>D-1004</t>
  </si>
  <si>
    <t>492.03</t>
  </si>
  <si>
    <t>$492.03</t>
  </si>
  <si>
    <t>D-1061</t>
  </si>
  <si>
    <t>213.15</t>
  </si>
  <si>
    <t>$1,065.75</t>
  </si>
  <si>
    <t>D-1065</t>
  </si>
  <si>
    <t>67.86</t>
  </si>
  <si>
    <t>135.72</t>
  </si>
  <si>
    <t>D-1127</t>
  </si>
  <si>
    <t>63.83</t>
  </si>
  <si>
    <t>127.66</t>
  </si>
  <si>
    <t>D-1060</t>
  </si>
  <si>
    <t>60.18</t>
  </si>
  <si>
    <t>$300.9</t>
  </si>
  <si>
    <t>D-1098</t>
  </si>
  <si>
    <t>57.15</t>
  </si>
  <si>
    <t>114.3</t>
  </si>
  <si>
    <t>D-1096</t>
  </si>
  <si>
    <t>404.44</t>
  </si>
  <si>
    <t>$404.44</t>
  </si>
  <si>
    <t>D-1130</t>
  </si>
  <si>
    <t>368.26</t>
  </si>
  <si>
    <t>$7,365.20</t>
  </si>
  <si>
    <t>D-1151</t>
  </si>
  <si>
    <t>72.31</t>
  </si>
  <si>
    <t>723.1</t>
  </si>
  <si>
    <t>D-1248</t>
  </si>
  <si>
    <t>1203.23</t>
  </si>
  <si>
    <t>$24,064.60</t>
  </si>
  <si>
    <t>D-1040</t>
  </si>
  <si>
    <t>76.75</t>
  </si>
  <si>
    <t>$76.75</t>
  </si>
  <si>
    <t>D-1147</t>
  </si>
  <si>
    <t>162.59</t>
  </si>
  <si>
    <t>1625.9</t>
  </si>
  <si>
    <t>D-1183</t>
  </si>
  <si>
    <t>58.93</t>
  </si>
  <si>
    <t>117.86</t>
  </si>
  <si>
    <t>D-1223</t>
  </si>
  <si>
    <t>382.36</t>
  </si>
  <si>
    <t>D-1036</t>
  </si>
  <si>
    <t>1266.86</t>
  </si>
  <si>
    <t>D-1077</t>
  </si>
  <si>
    <t>152.98</t>
  </si>
  <si>
    <t>D-1173</t>
  </si>
  <si>
    <t>226.97</t>
  </si>
  <si>
    <t>453.94</t>
  </si>
  <si>
    <t>D-1233</t>
  </si>
  <si>
    <t>229.82</t>
  </si>
  <si>
    <t>$229.82</t>
  </si>
  <si>
    <t>D-1193</t>
  </si>
  <si>
    <t>81.95</t>
  </si>
  <si>
    <t>$1,639.00</t>
  </si>
  <si>
    <t>D-1218</t>
  </si>
  <si>
    <t>49.92</t>
  </si>
  <si>
    <t>499.2</t>
  </si>
  <si>
    <t>D-1078</t>
  </si>
  <si>
    <t>199.56</t>
  </si>
  <si>
    <t>D-1139</t>
  </si>
  <si>
    <t>403.84</t>
  </si>
  <si>
    <t>D-1176</t>
  </si>
  <si>
    <t>120.48</t>
  </si>
  <si>
    <t>D-1196</t>
  </si>
  <si>
    <t>62.77</t>
  </si>
  <si>
    <t>125.54</t>
  </si>
  <si>
    <t>D-1228</t>
  </si>
  <si>
    <t>60.9</t>
  </si>
  <si>
    <t>$60.9</t>
  </si>
  <si>
    <t>D-1166</t>
  </si>
  <si>
    <t>75.13</t>
  </si>
  <si>
    <t>$375.65</t>
  </si>
  <si>
    <t>D-1238</t>
  </si>
  <si>
    <t>44.69</t>
  </si>
  <si>
    <t>89.38</t>
  </si>
  <si>
    <t>D-1046</t>
  </si>
  <si>
    <t>1266.5</t>
  </si>
  <si>
    <t>2533.0</t>
  </si>
  <si>
    <t>D-1163</t>
  </si>
  <si>
    <t>135.5</t>
  </si>
  <si>
    <t>1355.0</t>
  </si>
  <si>
    <t>D-1222</t>
  </si>
  <si>
    <t>277.92</t>
  </si>
  <si>
    <t>D-1043</t>
  </si>
  <si>
    <t>105.63</t>
  </si>
  <si>
    <t>$528.15</t>
  </si>
  <si>
    <t>D-1057</t>
  </si>
  <si>
    <t>421.73</t>
  </si>
  <si>
    <t>843.46</t>
  </si>
  <si>
    <t>D-1090</t>
  </si>
  <si>
    <t>47.6</t>
  </si>
  <si>
    <t>238.0</t>
  </si>
  <si>
    <t>D-1204</t>
  </si>
  <si>
    <t>102.63</t>
  </si>
  <si>
    <t>D-1072</t>
  </si>
  <si>
    <t>196.02</t>
  </si>
  <si>
    <t>D-1192</t>
  </si>
  <si>
    <t>218.98</t>
  </si>
  <si>
    <t>437.96</t>
  </si>
  <si>
    <t>D-1030</t>
  </si>
  <si>
    <t>147.96</t>
  </si>
  <si>
    <t>D-1118</t>
  </si>
  <si>
    <t>475.9</t>
  </si>
  <si>
    <t>D-1201</t>
  </si>
  <si>
    <t>224.95</t>
  </si>
  <si>
    <t>D-1212</t>
  </si>
  <si>
    <t>283.25</t>
  </si>
  <si>
    <t>566.5</t>
  </si>
  <si>
    <t>D-1053</t>
  </si>
  <si>
    <t>48.49</t>
  </si>
  <si>
    <t>$2424.5</t>
  </si>
  <si>
    <t>D-1070</t>
  </si>
  <si>
    <t>Die zehn größten Einzelgeschäfte</t>
  </si>
  <si>
    <t>265.15</t>
  </si>
  <si>
    <t>$5303.0</t>
  </si>
  <si>
    <t>D-1177</t>
  </si>
  <si>
    <t>67.1</t>
  </si>
  <si>
    <t>$67.10</t>
  </si>
  <si>
    <t>D-1188</t>
  </si>
  <si>
    <t>187.23</t>
  </si>
  <si>
    <t>D-1018</t>
  </si>
  <si>
    <t>1227.17</t>
  </si>
  <si>
    <t>$1227.17</t>
  </si>
  <si>
    <t>D-1022</t>
  </si>
  <si>
    <t>100.36</t>
  </si>
  <si>
    <t>$200.72</t>
  </si>
  <si>
    <t>D-1165</t>
  </si>
  <si>
    <t>95.13</t>
  </si>
  <si>
    <t>D-1189</t>
  </si>
  <si>
    <t>66.01</t>
  </si>
  <si>
    <t>$66.01</t>
  </si>
  <si>
    <t>D-1156</t>
  </si>
  <si>
    <t>445.67</t>
  </si>
  <si>
    <t>891.34</t>
  </si>
  <si>
    <t>D-1019</t>
  </si>
  <si>
    <t>72.37</t>
  </si>
  <si>
    <t>D-1128</t>
  </si>
  <si>
    <t>Enterprise plan</t>
  </si>
  <si>
    <t>1360.14</t>
  </si>
  <si>
    <t>$1360.14</t>
  </si>
  <si>
    <t>D-1168</t>
  </si>
  <si>
    <t>201.51</t>
  </si>
  <si>
    <t>10075.5</t>
  </si>
  <si>
    <t>D-1186</t>
  </si>
  <si>
    <t>59.63</t>
  </si>
  <si>
    <t>D-1225</t>
  </si>
  <si>
    <t>78.24</t>
  </si>
  <si>
    <t>$78.24</t>
  </si>
  <si>
    <t>D-1227</t>
  </si>
  <si>
    <t>63.35</t>
  </si>
  <si>
    <t>126.7</t>
  </si>
  <si>
    <t>D-1024</t>
  </si>
  <si>
    <t>250.06</t>
  </si>
  <si>
    <t>$250.06</t>
  </si>
  <si>
    <t>D-1069</t>
  </si>
  <si>
    <t>415.38</t>
  </si>
  <si>
    <t>D-1080</t>
  </si>
  <si>
    <t>967.42</t>
  </si>
  <si>
    <t>D-1120</t>
  </si>
  <si>
    <t>958.86</t>
  </si>
  <si>
    <t>D-1185</t>
  </si>
  <si>
    <t>75.29</t>
  </si>
  <si>
    <t>150.58</t>
  </si>
  <si>
    <t>Summe</t>
  </si>
  <si>
    <t>Registerkarte</t>
  </si>
  <si>
    <t xml:space="preserve">Beschreibung </t>
  </si>
  <si>
    <t>peakflow_q1_2025_dirty (Rohdaten)</t>
  </si>
  <si>
    <t>Diese Arbeitsmappe enthält die Analyse der PeakFlow-Geschäftsdaten für das erste Quartal 2025. Die Originaldaten wurden unverändert aufbewahrt.</t>
  </si>
  <si>
    <t>Geschäfte (Gefundene Datenfehler)</t>
  </si>
  <si>
    <t>die Registerkarte "Geschäfte" ist der bereinigte Datensatz
Gefundene Datenfehler:
Ausgangsdaten: 254 Zeilen
Entfernt: 2 Testdatensätze; D-TEST1, Zeile 51; D-TEST2, Zeile 141
Entfernt: 2 vollständige Duplikate DealID; D-1232; D-1020
Schreibweisen bei;
Kategorien vereinheitlicht:
BUSINESS PLAN → Business Plan
add-on: support → Add-on: Support
Starter plan → Starter Plan
Enterprise plan → Enterprise Plan
Regionen vereinheitlicht:
latam → LATAM
emea → EMEA
north america und NORTH AMERICA → North America
Umsatzwerte in echte Zahlen umgewandelt (punkte zu Komma)
Bereinigtes Ergebnis: 250 Geschäfte und 364.634,55 $
die Funktion GROSS nur für Apac, Emea und Latam werden mit den Ergebnisse  APAC, EMEA, LATAM
die Funktion GROSS2 nur für North America. Zusätzlich wurden GLÄTTEN und SÄUBERN verwendet.</t>
  </si>
  <si>
    <t>Zusammenfassung</t>
  </si>
  <si>
    <t xml:space="preserve">Hauptkennzahlen;
Insgesamt wurden 250 Geschäfte mit einem Gesamtumsatz von 364.634,55 $ abgeschlossen. Die Dealgrößen sind deutlich rechtsschief verteilt: Wenige sehr große Geschäfte erhöhen den Durchschnitt auf 1.458,54 $, während der Median von 386,76 $ zeigt, dass die meisten Deals deutlich kleiner sind.
Monat;
Der Umsatz erreichte im Januar 186.600 $, fiel im Februar stark und erholte sich im März nur leicht. Der Q1-Umsatz fiel nach einem außergewöhnlich starken Januar deutlich ab.
Region;
APAC erzielte mit 120.025 $ den höchsten regionalen Umsatz, während North America trotz gleich vieler Geschäfte deutlich weniger Umsatz erwirtschaftete. 
Kategorie;$
Enterprise Plans machten nur 23 von 250 Geschäften aus, erzeugten aber rund 46,9 % des gesamten Umsatzes. 
</t>
  </si>
  <si>
    <t>Pivot-Tabellen</t>
  </si>
  <si>
    <t xml:space="preserve">Vertriebsmitarbeiter x Kategorie;
Marcus Johnson ist besonders stark beim Enterprise Plan und Business Plan.
Aisha Hassan führt beim Pro Plan.
Sophie Laurent ist stark beim Starter Plan und Add-On: Support.
Hannah Lee erzielt den höchsten Umsatz bei Add-On: Analytics.
Vertriebsmitarbeiter x Region
Marcus Johnson ist besonders stark, weil er in zwei Regionen – LATAM und EMEA – den höchsten Umsatz erzielt. Insgesamt hat Marcus Johnson mit 78.951,97 $ auch den höchsten Gesamtumsatz.
Nina Petrov führt in APAC.
Aisha Hassan in North America.
</t>
  </si>
  <si>
    <t>Top Performer</t>
  </si>
  <si>
    <t xml:space="preserve">
Meiste abgeschlossene Geschäfte;
Marcus Johnson schloss mit 37 Geschäften die meisten Deals ab.
Größte durchschnittliche Geschäfte;
Nina Petrov erzielte mit durchschnittlich 2.944,31 $ die größten Deals.
Die zehn größten Einzelgeschäfte;
Marcus Johnson ist mit drei der zehn größten Einzelgeschäfte am häufigsten vertreten und zeigt damit eine konstant starke Leistung. Nina Petrov erzielt mit zwei Geschäften den höchsten Gesamtumsatz von rund 56.692 $, vor allem durch den größten Einzelabschluss mit Nova Inc.
</t>
  </si>
  <si>
    <t>Diagramme</t>
  </si>
  <si>
    <t>Liniendiagramm;
Der Umsatz fiel nach einem außergewöhnlich starken Januar deutlich ab
Balkendiagramm;
Marcus Johnson erzielte im ersten Quartal den höchsten Gesamtumsatz.
Histogramm;
Die meisten Geschäfte waren klein, wenige große Deals erhöhten den Durchschnitt
Streudiagramm;
Zwischen Stückzahl und Stückpreis besteht kaum ein linearer Zusammenhang
Boxplot;
Lukas Becker weist aufgrund eines außergewöhnlich großen Geschäfts die größte Spannweite auf.</t>
  </si>
  <si>
    <t>Liniendiagramm (Monat x Total Revenue)</t>
  </si>
  <si>
    <t>Hilfstabelle für Boxplot – Umsatz nach Manager</t>
  </si>
  <si>
    <t xml:space="preserve">Manager </t>
  </si>
  <si>
    <t>IQR (Box)</t>
  </si>
  <si>
    <t>Whisker nach Oben (Max-Q3)</t>
  </si>
  <si>
    <t>Whisker nach Unten (Q1-Min)</t>
  </si>
  <si>
    <t>Balkendiagramm (Sales Rep x Total Revenue)</t>
  </si>
  <si>
    <t>Histogramm (alle 250 Transaktionen Werte)</t>
  </si>
  <si>
    <t>Streudiagramm (Unit x Unit Preis)</t>
  </si>
  <si>
    <t>Trendlinie Bedeutung;</t>
  </si>
  <si>
    <t>Steigt nach rechts an ↗: Bei höherer Stückzahl steigt tendenziell der Stückpreis.?</t>
  </si>
  <si>
    <t>Fällt nach rechts ab ↘: Bei höherer Stückzahl sinkt tendenziell der Stückpreis.?</t>
  </si>
  <si>
    <t>Fast waagerecht →: Kaum Zusammenhang zwischen Stückzahl und Stückpreis.?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</si>
</sst>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
    <numFmt numFmtId="166" formatCode="yyyy-mm-dd"/>
    <numFmt numFmtId="167" formatCode="yyyy.m"/>
    <numFmt numFmtId="168" formatCode="yyyy.mm"/>
  </numFmts>
  <fonts count="12">
    <font>
      <sz val="10.0"/>
      <color rgb="FF000000"/>
      <name val="Arial"/>
      <scheme val="minor"/>
    </font>
    <font>
      <color theme="1"/>
      <name val="Arial"/>
    </font>
    <font>
      <sz val="14.0"/>
      <color theme="1"/>
      <name val="Arial"/>
    </font>
    <font>
      <sz val="12.0"/>
      <color theme="1"/>
      <name val="Arial"/>
    </font>
    <font>
      <color theme="1"/>
      <name val="Arial"/>
      <scheme val="minor"/>
    </font>
    <font>
      <sz val="11.0"/>
      <color theme="1"/>
      <name val="Arial"/>
    </font>
    <font>
      <color theme="1"/>
      <name val="&quot;Liberation Mono&quot;"/>
    </font>
    <font>
      <sz val="13.0"/>
      <color theme="1"/>
      <name val="Arial"/>
    </font>
    <font>
      <b/>
      <sz val="11.0"/>
      <color theme="1"/>
      <name val="Arial"/>
    </font>
    <font>
      <sz val="10.0"/>
      <color theme="1"/>
      <name val="Arial"/>
    </font>
    <font>
      <b/>
      <sz val="10.0"/>
      <color theme="1"/>
      <name val="Arial"/>
    </font>
    <font>
      <sz val="15.0"/>
      <color theme="1"/>
      <name val="Arial"/>
    </font>
  </fonts>
  <fills count="5">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166" xfId="0" applyFont="1" applyNumberFormat="1"/>
    <xf borderId="0" fillId="0" fontId="1" numFmtId="167" xfId="0" applyFont="1" applyNumberFormat="1"/>
    <xf borderId="0" fillId="2" fontId="1" numFmtId="0" xfId="0" applyFill="1" applyFont="1"/>
    <xf borderId="0" fillId="0" fontId="1" numFmtId="3" xfId="0" applyFont="1" applyNumberFormat="1"/>
    <xf borderId="0" fillId="0" fontId="1" numFmtId="165" xfId="0" applyFont="1" applyNumberFormat="1"/>
    <xf borderId="0" fillId="0" fontId="1" numFmtId="2" xfId="0" applyFont="1" applyNumberFormat="1"/>
    <xf borderId="0" fillId="0" fontId="1" numFmtId="164" xfId="0" applyFont="1" applyNumberFormat="1"/>
    <xf borderId="0" fillId="0" fontId="4" numFmtId="0" xfId="0" applyFont="1"/>
    <xf borderId="0" fillId="0" fontId="4" numFmtId="165" xfId="0" applyFont="1" applyNumberFormat="1"/>
    <xf borderId="0" fillId="0" fontId="1" numFmtId="0" xfId="0" applyAlignment="1" applyFont="1">
      <alignment shrinkToFit="0" vertical="center" wrapText="1"/>
    </xf>
    <xf borderId="0" fillId="2" fontId="5" numFmtId="0" xfId="0" applyFill="1" applyFont="1"/>
    <xf borderId="0" fillId="3" fontId="3" numFmtId="0" xfId="0" applyFill="1" applyFont="1"/>
    <xf borderId="0" fillId="3" fontId="1" numFmtId="0" xfId="0" applyFill="1" applyFont="1"/>
    <xf borderId="0" fillId="2" fontId="6" numFmtId="0" xfId="0" applyFill="1" applyFont="1"/>
    <xf borderId="0" fillId="0" fontId="1" numFmtId="10" xfId="0" applyFont="1" applyNumberFormat="1"/>
    <xf borderId="0" fillId="0" fontId="1" numFmtId="168" xfId="0" applyFont="1" applyNumberFormat="1"/>
    <xf borderId="0" fillId="3" fontId="5" numFmtId="0" xfId="0" applyFill="1" applyFont="1"/>
    <xf borderId="0" fillId="2" fontId="1" numFmtId="165" xfId="0" applyFill="1" applyFont="1" applyNumberFormat="1"/>
    <xf borderId="0" fillId="0" fontId="7" numFmtId="0" xfId="0" applyAlignment="1" applyFont="1">
      <alignment horizontal="center"/>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vertical="center"/>
    </xf>
    <xf borderId="0" fillId="0" fontId="5" numFmtId="0" xfId="0" applyFont="1"/>
    <xf borderId="0" fillId="0" fontId="8" numFmtId="0" xfId="0" applyFont="1"/>
    <xf borderId="0" fillId="3" fontId="2" numFmtId="0" xfId="0" applyFill="1" applyFont="1"/>
    <xf borderId="0" fillId="2" fontId="2" numFmtId="0" xfId="0" applyFill="1" applyFont="1"/>
    <xf borderId="0" fillId="0" fontId="7" numFmtId="0" xfId="0" applyFont="1"/>
    <xf borderId="0" fillId="2" fontId="3" numFmtId="0" xfId="0" applyFill="1" applyFont="1"/>
    <xf borderId="0" fillId="2" fontId="7" numFmtId="0" xfId="0" applyFill="1" applyFont="1"/>
    <xf borderId="0" fillId="0" fontId="3" numFmtId="165" xfId="0" applyFont="1" applyNumberFormat="1"/>
    <xf borderId="0" fillId="0" fontId="7" numFmtId="165" xfId="0" applyFont="1" applyNumberFormat="1"/>
    <xf borderId="0" fillId="0" fontId="7" numFmtId="0" xfId="0" applyAlignment="1" applyFont="1">
      <alignment shrinkToFit="0" vertical="center" wrapText="1"/>
    </xf>
    <xf borderId="0" fillId="4" fontId="7" numFmtId="0" xfId="0" applyFill="1" applyFont="1"/>
    <xf borderId="0" fillId="0" fontId="9" numFmtId="0" xfId="0" applyFont="1"/>
    <xf borderId="0" fillId="0" fontId="10" numFmtId="0" xfId="0" applyAlignment="1" applyFont="1">
      <alignment horizontal="center"/>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Marcus Johnson erzielte im ersten Quartal den höchsten Gesamtumsatz.</a:t>
            </a:r>
          </a:p>
        </c:rich>
      </c:tx>
      <c:overlay val="0"/>
    </c:title>
    <c:plotArea>
      <c:layout/>
      <c:barChart>
        <c:barDir val="bar"/>
        <c:varyColors val="0"/>
        <c:ser>
          <c:idx val="0"/>
          <c:order val="0"/>
          <c:tx>
            <c:strRef>
              <c:f>'Pivot-Tabellen'!$H$2:$H$4</c:f>
            </c:strRef>
          </c:tx>
          <c:spPr>
            <a:solidFill>
              <a:schemeClr val="accent1"/>
            </a:solidFill>
            <a:ln cmpd="sng">
              <a:noFill/>
            </a:ln>
          </c:spPr>
          <c:invertIfNegative val="0"/>
          <c:cat>
            <c:strRef>
              <c:f>'Pivot-Tabellen'!$A$5:$A$16</c:f>
            </c:strRef>
          </c:cat>
          <c:val>
            <c:numRef>
              <c:f>'Pivot-Tabellen'!$H$5:$H$16</c:f>
              <c:numCache/>
            </c:numRef>
          </c:val>
        </c:ser>
        <c:axId val="623568656"/>
        <c:axId val="1567888704"/>
      </c:barChart>
      <c:catAx>
        <c:axId val="623568656"/>
        <c:scaling>
          <c:orientation val="maxMin"/>
        </c:scaling>
        <c:delete val="0"/>
        <c:axPos val="l"/>
        <c:title>
          <c:tx>
            <c:rich>
              <a:bodyPr/>
              <a:lstStyle/>
              <a:p>
                <a:pPr lvl="0">
                  <a:defRPr b="0" i="0" sz="1400">
                    <a:solidFill>
                      <a:srgbClr val="000000"/>
                    </a:solidFill>
                    <a:latin typeface="+mn-lt"/>
                  </a:defRPr>
                </a:pPr>
                <a:r>
                  <a:rPr b="0" i="0" sz="1400">
                    <a:solidFill>
                      <a:srgbClr val="000000"/>
                    </a:solidFill>
                    <a:latin typeface="+mn-lt"/>
                  </a:rPr>
                  <a:t>Vertriebsmitarbeiter</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567888704"/>
      </c:catAx>
      <c:valAx>
        <c:axId val="15678887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sz="1400">
                    <a:solidFill>
                      <a:srgbClr val="000000"/>
                    </a:solidFill>
                    <a:latin typeface="+mn-lt"/>
                  </a:defRPr>
                </a:pPr>
                <a:r>
                  <a:rPr b="0" i="0" sz="1400">
                    <a:solidFill>
                      <a:srgbClr val="000000"/>
                    </a:solidFill>
                    <a:latin typeface="+mn-lt"/>
                  </a:rPr>
                  <a:t>Gesamtumsatz in USD</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623568656"/>
        <c:crosses val="max"/>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Lukas Becker hat die größte Spannweite</a:t>
            </a:r>
          </a:p>
        </c:rich>
      </c:tx>
      <c:overlay val="0"/>
    </c:title>
    <c:plotArea>
      <c:layout/>
      <c:stockChart>
        <c:ser>
          <c:idx val="0"/>
          <c:order val="0"/>
          <c:tx>
            <c:strRef>
              <c:f>Diagramme!$G$3</c:f>
            </c:strRef>
          </c:tx>
          <c:spPr>
            <a:ln cmpd="sng">
              <a:noFill/>
            </a:ln>
          </c:spPr>
          <c:marker>
            <c:symbol val="none"/>
          </c:marker>
          <c:cat>
            <c:strRef>
              <c:f>Diagramme!$E$4:$E$7</c:f>
            </c:strRef>
          </c:cat>
          <c:val>
            <c:numRef>
              <c:f>Diagramme!$G$4:$G$7</c:f>
              <c:numCache/>
            </c:numRef>
          </c:val>
          <c:smooth val="0"/>
        </c:ser>
        <c:ser>
          <c:idx val="1"/>
          <c:order val="1"/>
          <c:tx>
            <c:strRef>
              <c:f>Diagramme!$I$3</c:f>
            </c:strRef>
          </c:tx>
          <c:spPr>
            <a:ln cmpd="sng">
              <a:noFill/>
            </a:ln>
          </c:spPr>
          <c:marker>
            <c:symbol val="none"/>
          </c:marker>
          <c:cat>
            <c:strRef>
              <c:f>Diagramme!$E$4:$E$7</c:f>
            </c:strRef>
          </c:cat>
          <c:val>
            <c:numRef>
              <c:f>Diagramme!$I$4:$I$7</c:f>
              <c:numCache/>
            </c:numRef>
          </c:val>
          <c:smooth val="0"/>
        </c:ser>
        <c:ser>
          <c:idx val="2"/>
          <c:order val="2"/>
          <c:tx>
            <c:strRef>
              <c:f>Diagramme!$F$3</c:f>
            </c:strRef>
          </c:tx>
          <c:spPr>
            <a:ln cmpd="sng">
              <a:noFill/>
            </a:ln>
          </c:spPr>
          <c:marker>
            <c:symbol val="none"/>
          </c:marker>
          <c:cat>
            <c:strRef>
              <c:f>Diagramme!$E$4:$E$7</c:f>
            </c:strRef>
          </c:cat>
          <c:val>
            <c:numRef>
              <c:f>Diagramme!$F$4:$F$7</c:f>
              <c:numCache/>
            </c:numRef>
          </c:val>
          <c:smooth val="0"/>
        </c:ser>
        <c:ser>
          <c:idx val="3"/>
          <c:order val="3"/>
          <c:tx>
            <c:strRef>
              <c:f>Diagramme!$H$3</c:f>
            </c:strRef>
          </c:tx>
          <c:spPr>
            <a:ln cmpd="sng">
              <a:noFill/>
            </a:ln>
          </c:spPr>
          <c:marker>
            <c:symbol val="none"/>
          </c:marker>
          <c:cat>
            <c:strRef>
              <c:f>Diagramme!$E$4:$E$7</c:f>
            </c:strRef>
          </c:cat>
          <c:val>
            <c:numRef>
              <c:f>Diagramme!$H$4:$H$7</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386617080"/>
        <c:axId val="629541480"/>
      </c:stockChart>
      <c:catAx>
        <c:axId val="1386617080"/>
        <c:scaling>
          <c:orientation val="minMax"/>
        </c:scaling>
        <c:delete val="0"/>
        <c:axPos val="b"/>
        <c:title>
          <c:tx>
            <c:rich>
              <a:bodyPr/>
              <a:lstStyle/>
              <a:p>
                <a:pPr lvl="0">
                  <a:defRPr b="0" i="0" sz="1400">
                    <a:solidFill>
                      <a:srgbClr val="000000"/>
                    </a:solidFill>
                    <a:latin typeface="+mn-lt"/>
                  </a:defRPr>
                </a:pPr>
                <a:r>
                  <a:rPr b="0" i="0" sz="1400">
                    <a:solidFill>
                      <a:srgbClr val="000000"/>
                    </a:solidFill>
                    <a:latin typeface="+mn-lt"/>
                  </a:rPr>
                  <a:t>Manager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29541480"/>
      </c:catAx>
      <c:valAx>
        <c:axId val="629541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400">
                    <a:solidFill>
                      <a:srgbClr val="000000"/>
                    </a:solidFill>
                    <a:latin typeface="+mn-lt"/>
                  </a:defRPr>
                </a:pPr>
                <a:r>
                  <a:rPr b="0" i="0" sz="1400">
                    <a:solidFill>
                      <a:srgbClr val="000000"/>
                    </a:solidFill>
                    <a:latin typeface="+mn-lt"/>
                  </a:rPr>
                  <a:t>Gesamtsumsatz in USD</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386617080"/>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600">
                <a:solidFill>
                  <a:srgbClr val="757575"/>
                </a:solidFill>
                <a:latin typeface="+mn-lt"/>
              </a:defRPr>
            </a:pPr>
            <a:r>
              <a:rPr b="0" i="0" sz="1600">
                <a:solidFill>
                  <a:srgbClr val="757575"/>
                </a:solidFill>
                <a:latin typeface="+mn-lt"/>
              </a:rPr>
              <a:t>Der Umsatz war im Januar am höchsten und stieg nach dem Februartief im März leicht an.</a:t>
            </a:r>
          </a:p>
        </c:rich>
      </c:tx>
      <c:overlay val="0"/>
    </c:title>
    <c:plotArea>
      <c:layout/>
      <c:lineChart>
        <c:varyColors val="0"/>
        <c:ser>
          <c:idx val="0"/>
          <c:order val="0"/>
          <c:tx>
            <c:strRef>
              <c:f>Zusammenfassung!$B$18:$B$19</c:f>
            </c:strRef>
          </c:tx>
          <c:spPr>
            <a:ln cmpd="sng">
              <a:solidFill>
                <a:srgbClr val="4285F4"/>
              </a:solidFill>
            </a:ln>
          </c:spPr>
          <c:marker>
            <c:symbol val="none"/>
          </c:marker>
          <c:cat>
            <c:strRef>
              <c:f>Zusammenfassung!$A$20:$A$22</c:f>
            </c:strRef>
          </c:cat>
          <c:val>
            <c:numRef>
              <c:f>Zusammenfassung!$B$20:$B$22</c:f>
              <c:numCache/>
            </c:numRef>
          </c:val>
          <c:smooth val="0"/>
        </c:ser>
        <c:axId val="1901116800"/>
        <c:axId val="1791872947"/>
      </c:lineChart>
      <c:catAx>
        <c:axId val="1901116800"/>
        <c:scaling>
          <c:orientation val="minMax"/>
        </c:scaling>
        <c:delete val="0"/>
        <c:axPos val="b"/>
        <c:title>
          <c:tx>
            <c:rich>
              <a:bodyPr/>
              <a:lstStyle/>
              <a:p>
                <a:pPr lvl="0">
                  <a:defRPr b="0" i="0" sz="1200">
                    <a:solidFill>
                      <a:srgbClr val="000000"/>
                    </a:solidFill>
                    <a:latin typeface="+mn-lt"/>
                  </a:defRPr>
                </a:pPr>
                <a:r>
                  <a:rPr b="0" i="0" sz="1200">
                    <a:solidFill>
                      <a:srgbClr val="000000"/>
                    </a:solidFill>
                    <a:latin typeface="+mn-lt"/>
                  </a:rPr>
                  <a:t>Monat</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91872947"/>
      </c:catAx>
      <c:valAx>
        <c:axId val="1791872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200">
                    <a:solidFill>
                      <a:srgbClr val="000000"/>
                    </a:solidFill>
                    <a:latin typeface="+mn-lt"/>
                  </a:defRPr>
                </a:pPr>
                <a:r>
                  <a:rPr b="0" i="0" sz="1200">
                    <a:solidFill>
                      <a:srgbClr val="000000"/>
                    </a:solidFill>
                    <a:latin typeface="+mn-lt"/>
                  </a:rPr>
                  <a:t>Gesamtsumsatz in USD</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01116800"/>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Zwischen Stückzahl und Stückpreis besteht kaum ein linearer Zusammenhang.</a:t>
            </a:r>
          </a:p>
        </c:rich>
      </c:tx>
      <c:overlay val="0"/>
    </c:title>
    <c:plotArea>
      <c:layout/>
      <c:scatterChart>
        <c:scatterStyle val="lineMarker"/>
        <c:ser>
          <c:idx val="0"/>
          <c:order val="0"/>
          <c:tx>
            <c:strRef>
              <c:f>'Geschäfte'!$N$3</c:f>
            </c:strRef>
          </c:tx>
          <c:spPr>
            <a:ln>
              <a:noFill/>
            </a:ln>
          </c:spPr>
          <c:marker>
            <c:symbol val="circle"/>
            <c:size val="7"/>
            <c:spPr>
              <a:solidFill>
                <a:schemeClr val="accent1"/>
              </a:solidFill>
              <a:ln cmpd="sng">
                <a:solidFill>
                  <a:schemeClr val="accent1"/>
                </a:solidFill>
              </a:ln>
            </c:spPr>
          </c:marker>
          <c:trendline>
            <c:name>Trendlinie für Add-On: Analytics Price</c:name>
            <c:spPr>
              <a:ln w="19050">
                <a:solidFill>
                  <a:srgbClr val="000000">
                    <a:alpha val="0"/>
                  </a:srgbClr>
                </a:solidFill>
              </a:ln>
            </c:spPr>
            <c:trendlineType val="linear"/>
            <c:dispRSqr val="1"/>
            <c:dispEq val="0"/>
          </c:trendline>
          <c:xVal>
            <c:numRef>
              <c:f>'Geschäfte'!$H$4:$H$253</c:f>
            </c:numRef>
          </c:xVal>
          <c:yVal>
            <c:numRef>
              <c:f>'Geschäfte'!$N$4:$N$253</c:f>
              <c:numCache/>
            </c:numRef>
          </c:yVal>
        </c:ser>
        <c:ser>
          <c:idx val="1"/>
          <c:order val="1"/>
          <c:tx>
            <c:strRef>
              <c:f>'Geschäfte'!$P$3</c:f>
            </c:strRef>
          </c:tx>
          <c:spPr>
            <a:ln>
              <a:noFill/>
            </a:ln>
          </c:spPr>
          <c:marker>
            <c:symbol val="circle"/>
            <c:size val="7"/>
            <c:spPr>
              <a:solidFill>
                <a:schemeClr val="accent2"/>
              </a:solidFill>
              <a:ln cmpd="sng">
                <a:solidFill>
                  <a:schemeClr val="accent2"/>
                </a:solidFill>
              </a:ln>
            </c:spPr>
          </c:marker>
          <c:trendline>
            <c:name>Trendlinie für Add on: Support Unit Price </c:name>
            <c:spPr>
              <a:ln w="19050">
                <a:solidFill>
                  <a:srgbClr val="000000">
                    <a:alpha val="0"/>
                  </a:srgbClr>
                </a:solidFill>
              </a:ln>
            </c:spPr>
            <c:trendlineType val="linear"/>
            <c:dispRSqr val="1"/>
            <c:dispEq val="0"/>
          </c:trendline>
          <c:xVal>
            <c:numRef>
              <c:f>'Geschäfte'!$H$4:$H$253</c:f>
            </c:numRef>
          </c:xVal>
          <c:yVal>
            <c:numRef>
              <c:f>'Geschäfte'!$P$4:$P$253</c:f>
              <c:numCache/>
            </c:numRef>
          </c:yVal>
        </c:ser>
        <c:ser>
          <c:idx val="2"/>
          <c:order val="2"/>
          <c:tx>
            <c:strRef>
              <c:f>'Geschäfte'!$R$3</c:f>
            </c:strRef>
          </c:tx>
          <c:spPr>
            <a:ln>
              <a:noFill/>
            </a:ln>
          </c:spPr>
          <c:marker>
            <c:symbol val="circle"/>
            <c:size val="7"/>
            <c:spPr>
              <a:solidFill>
                <a:schemeClr val="accent3"/>
              </a:solidFill>
              <a:ln cmpd="sng">
                <a:solidFill>
                  <a:schemeClr val="accent3"/>
                </a:solidFill>
              </a:ln>
            </c:spPr>
          </c:marker>
          <c:trendline>
            <c:name>Trendlinie für Business Plan Unit Price </c:name>
            <c:spPr>
              <a:ln w="19050">
                <a:solidFill>
                  <a:srgbClr val="000000">
                    <a:alpha val="0"/>
                  </a:srgbClr>
                </a:solidFill>
              </a:ln>
            </c:spPr>
            <c:trendlineType val="linear"/>
            <c:dispRSqr val="1"/>
            <c:dispEq val="0"/>
          </c:trendline>
          <c:xVal>
            <c:numRef>
              <c:f>'Geschäfte'!$H$4:$H$253</c:f>
            </c:numRef>
          </c:xVal>
          <c:yVal>
            <c:numRef>
              <c:f>'Geschäfte'!$R$4:$R$253</c:f>
              <c:numCache/>
            </c:numRef>
          </c:yVal>
        </c:ser>
        <c:ser>
          <c:idx val="3"/>
          <c:order val="3"/>
          <c:tx>
            <c:strRef>
              <c:f>'Geschäfte'!$T$3</c:f>
            </c:strRef>
          </c:tx>
          <c:spPr>
            <a:ln>
              <a:noFill/>
            </a:ln>
          </c:spPr>
          <c:marker>
            <c:symbol val="circle"/>
            <c:size val="7"/>
            <c:spPr>
              <a:solidFill>
                <a:schemeClr val="accent4"/>
              </a:solidFill>
              <a:ln cmpd="sng">
                <a:solidFill>
                  <a:schemeClr val="accent4"/>
                </a:solidFill>
              </a:ln>
            </c:spPr>
          </c:marker>
          <c:trendline>
            <c:name>Trendlinie für Enterprise Unit Price</c:name>
            <c:spPr>
              <a:ln w="19050">
                <a:solidFill>
                  <a:srgbClr val="000000">
                    <a:alpha val="0"/>
                  </a:srgbClr>
                </a:solidFill>
              </a:ln>
            </c:spPr>
            <c:trendlineType val="linear"/>
            <c:dispRSqr val="1"/>
            <c:dispEq val="0"/>
          </c:trendline>
          <c:xVal>
            <c:numRef>
              <c:f>'Geschäfte'!$H$4:$H$253</c:f>
            </c:numRef>
          </c:xVal>
          <c:yVal>
            <c:numRef>
              <c:f>'Geschäfte'!$T$4:$T$253</c:f>
              <c:numCache/>
            </c:numRef>
          </c:yVal>
        </c:ser>
        <c:ser>
          <c:idx val="4"/>
          <c:order val="4"/>
          <c:tx>
            <c:strRef>
              <c:f>'Geschäfte'!$V$3</c:f>
            </c:strRef>
          </c:tx>
          <c:spPr>
            <a:ln>
              <a:noFill/>
            </a:ln>
          </c:spPr>
          <c:marker>
            <c:symbol val="circle"/>
            <c:size val="7"/>
            <c:spPr>
              <a:solidFill>
                <a:schemeClr val="accent5"/>
              </a:solidFill>
              <a:ln cmpd="sng">
                <a:solidFill>
                  <a:schemeClr val="accent5"/>
                </a:solidFill>
              </a:ln>
            </c:spPr>
          </c:marker>
          <c:trendline>
            <c:name>Trendlinie für Pro Plan Unit Price</c:name>
            <c:spPr>
              <a:ln w="19050">
                <a:solidFill>
                  <a:srgbClr val="000000">
                    <a:alpha val="0"/>
                  </a:srgbClr>
                </a:solidFill>
              </a:ln>
            </c:spPr>
            <c:trendlineType val="linear"/>
            <c:dispRSqr val="1"/>
            <c:dispEq val="0"/>
          </c:trendline>
          <c:xVal>
            <c:numRef>
              <c:f>'Geschäfte'!$H$4:$H$253</c:f>
            </c:numRef>
          </c:xVal>
          <c:yVal>
            <c:numRef>
              <c:f>'Geschäfte'!$V$4:$V$253</c:f>
              <c:numCache/>
            </c:numRef>
          </c:yVal>
        </c:ser>
        <c:ser>
          <c:idx val="5"/>
          <c:order val="5"/>
          <c:tx>
            <c:strRef>
              <c:f>'Geschäfte'!$X$3</c:f>
            </c:strRef>
          </c:tx>
          <c:spPr>
            <a:ln>
              <a:noFill/>
            </a:ln>
          </c:spPr>
          <c:marker>
            <c:symbol val="circle"/>
            <c:size val="7"/>
            <c:spPr>
              <a:solidFill>
                <a:schemeClr val="accent6"/>
              </a:solidFill>
              <a:ln cmpd="sng">
                <a:solidFill>
                  <a:schemeClr val="accent6"/>
                </a:solidFill>
              </a:ln>
            </c:spPr>
          </c:marker>
          <c:trendline>
            <c:name>Trendlinie für Starter Plan Unit Price</c:name>
            <c:spPr>
              <a:ln w="19050">
                <a:solidFill>
                  <a:srgbClr val="000000">
                    <a:alpha val="0"/>
                  </a:srgbClr>
                </a:solidFill>
              </a:ln>
            </c:spPr>
            <c:trendlineType val="linear"/>
            <c:dispRSqr val="1"/>
            <c:dispEq val="0"/>
          </c:trendline>
          <c:xVal>
            <c:numRef>
              <c:f>'Geschäfte'!$H$4:$H$253</c:f>
            </c:numRef>
          </c:xVal>
          <c:yVal>
            <c:numRef>
              <c:f>'Geschäfte'!$X$4:$X$253</c:f>
              <c:numCache/>
            </c:numRef>
          </c:yVal>
        </c:ser>
        <c:dLbls>
          <c:showLegendKey val="0"/>
          <c:showVal val="0"/>
          <c:showCatName val="0"/>
          <c:showSerName val="0"/>
          <c:showPercent val="0"/>
          <c:showBubbleSize val="0"/>
        </c:dLbls>
        <c:axId val="1441682488"/>
        <c:axId val="595073777"/>
      </c:scatterChart>
      <c:valAx>
        <c:axId val="14416824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sz="1400">
                    <a:solidFill>
                      <a:srgbClr val="000000"/>
                    </a:solidFill>
                    <a:latin typeface="+mn-lt"/>
                  </a:defRPr>
                </a:pPr>
                <a:r>
                  <a:rPr b="0" i="0" sz="1400">
                    <a:solidFill>
                      <a:srgbClr val="000000"/>
                    </a:solidFill>
                    <a:latin typeface="+mn-lt"/>
                  </a:rPr>
                  <a:t>Unit</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595073777"/>
      </c:valAx>
      <c:valAx>
        <c:axId val="595073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400">
                    <a:solidFill>
                      <a:srgbClr val="000000"/>
                    </a:solidFill>
                    <a:latin typeface="+mn-lt"/>
                  </a:defRPr>
                </a:pPr>
                <a:r>
                  <a:rPr b="0" i="0" sz="1400">
                    <a:solidFill>
                      <a:srgbClr val="000000"/>
                    </a:solidFill>
                    <a:latin typeface="+mn-lt"/>
                  </a:rPr>
                  <a:t>Unit Price in USD</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441682488"/>
      </c:valAx>
    </c:plotArea>
    <c:legend>
      <c:legendPos val="r"/>
      <c:overlay val="0"/>
      <c:txPr>
        <a:bodyPr/>
        <a:lstStyle/>
        <a:p>
          <a:pPr lvl="0">
            <a:defRPr b="0" i="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chart" Target="../charts/chart3.xml"/><Relationship Id="rId5"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27</xdr:row>
      <xdr:rowOff>190500</xdr:rowOff>
    </xdr:from>
    <xdr:ext cx="8543925" cy="5324475"/>
    <xdr:graphicFrame>
      <xdr:nvGraphicFramePr>
        <xdr:cNvPr id="2069713415"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7</xdr:row>
      <xdr:rowOff>190500</xdr:rowOff>
    </xdr:from>
    <xdr:ext cx="10220325" cy="6315075"/>
    <xdr:graphicFrame>
      <xdr:nvGraphicFramePr>
        <xdr:cNvPr id="1594815859"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304800</xdr:colOff>
      <xdr:row>54</xdr:row>
      <xdr:rowOff>57150</xdr:rowOff>
    </xdr:from>
    <xdr:ext cx="8543925" cy="5076825"/>
    <xdr:pic>
      <xdr:nvPicPr>
        <xdr:cNvPr id="2112151305" name="Chart3" title="Diagram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266700</xdr:colOff>
      <xdr:row>2</xdr:row>
      <xdr:rowOff>104775</xdr:rowOff>
    </xdr:from>
    <xdr:ext cx="8543925" cy="5267325"/>
    <xdr:graphicFrame>
      <xdr:nvGraphicFramePr>
        <xdr:cNvPr id="676512094" name="Chart 4" title="Diagramm"/>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304800</xdr:colOff>
      <xdr:row>80</xdr:row>
      <xdr:rowOff>19050</xdr:rowOff>
    </xdr:from>
    <xdr:ext cx="8543925" cy="5276850"/>
    <xdr:graphicFrame>
      <xdr:nvGraphicFramePr>
        <xdr:cNvPr id="1192812211" name="Chart 5" title="Diagramm"/>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253" sheet="Geschäfte"/>
  </cacheSource>
  <cacheFields>
    <cacheField name="DealID" numFmtId="0">
      <sharedItems>
        <s v="D-1088"/>
        <s v="D-1108"/>
        <s v="D-1230"/>
        <s v="D-1035"/>
        <s v="D-1152"/>
        <s v="D-1202"/>
        <s v="D-1249"/>
        <s v="D-1054"/>
        <s v="D-1102"/>
        <s v="D-1115"/>
        <s v="D-1138"/>
        <s v="D-1231"/>
        <s v="D-1008"/>
        <s v="D-1071"/>
        <s v="D-1105"/>
        <s v="D-1110"/>
        <s v="D-1112"/>
        <s v="D-1132"/>
        <s v="D-1150"/>
        <s v="D-1194"/>
        <s v="D-1091"/>
        <s v="D-1092"/>
        <s v="D-1211"/>
        <s v="D-1063"/>
        <s v="D-1206"/>
        <s v="D-1123"/>
        <s v="D-1121"/>
        <s v="D-1029"/>
        <s v="D-1141"/>
        <s v="D-1155"/>
        <s v="D-1209"/>
        <s v="D-1215"/>
        <s v="D-1250"/>
        <s v="D-1066"/>
        <s v="D-1153"/>
        <s v="D-1180"/>
        <s v="D-1219"/>
        <s v="D-1001"/>
        <s v="D-1009"/>
        <s v="D-1187"/>
        <s v="D-1220"/>
        <s v="D-1058"/>
        <s v="D-1229"/>
        <s v="D-1245"/>
        <s v="D-1075"/>
        <s v="D-1079"/>
        <s v="D-1169"/>
        <s v="D-1234"/>
        <s v="D-1198"/>
        <s v="D-1011"/>
        <s v="D-1041"/>
        <s v="D-1106"/>
        <s v="D-1109"/>
        <s v="D-1172"/>
        <s v="D-1037"/>
        <s v="D-1148"/>
        <s v="D-1244"/>
        <s v="D-1182"/>
        <s v="D-1012"/>
        <s v="D-1067"/>
        <s v="D-1085"/>
        <s v="D-1167"/>
        <s v="D-1197"/>
        <s v="D-1007"/>
        <s v="D-1048"/>
        <s v="D-1082"/>
        <s v="D-1158"/>
        <s v="D-1027"/>
        <s v="D-1117"/>
        <s v="D-1125"/>
        <s v="D-1164"/>
        <s v="D-1013"/>
        <s v="D-1144"/>
        <s v="D-1216"/>
        <s v="D-1124"/>
        <s v="D-1133"/>
        <s v="D-1235"/>
        <s v="D-1062"/>
        <s v="D-1002"/>
        <s v="D-1006"/>
        <s v="D-1010"/>
        <s v="D-1064"/>
        <s v="D-1190"/>
        <s v="D-1200"/>
        <s v="D-1221"/>
        <s v="D-1224"/>
        <s v="D-1093"/>
        <s v="D-1003"/>
        <s v="D-1107"/>
        <s v="D-1135"/>
        <s v="D-1131"/>
        <s v="D-1142"/>
        <s v="D-1199"/>
        <s v="D-1014"/>
        <s v="D-1051"/>
        <s v="D-1140"/>
        <s v="D-1178"/>
        <s v="D-1146"/>
        <s v="D-1059"/>
        <s v="D-1122"/>
        <s v="D-1134"/>
        <s v="D-1055"/>
        <s v="D-1068"/>
        <s v="D-1083"/>
        <s v="D-1073"/>
        <s v="D-1089"/>
        <s v="D-1161"/>
        <s v="D-1210"/>
        <s v="D-1101"/>
        <s v="D-1243"/>
        <s v="D-1015"/>
        <s v="D-1038"/>
        <s v="D-1232"/>
        <s v="D-1103"/>
        <s v="D-1116"/>
        <s v="D-1181"/>
        <s v="D-1207"/>
        <s v="D-1247"/>
        <s v="D-1044"/>
        <s v="D-1213"/>
        <s v="D-1100"/>
        <s v="D-1129"/>
        <s v="D-1191"/>
        <s v="D-1205"/>
        <s v="D-1050"/>
        <s v="D-1136"/>
        <s v="D-1099"/>
        <s v="D-1208"/>
        <s v="D-1017"/>
        <s v="D-1042"/>
        <s v="D-1045"/>
        <s v="D-1195"/>
        <s v="D-1203"/>
        <s v="D-1239"/>
        <s v="D-1154"/>
        <s v="D-1143"/>
        <s v="D-1214"/>
        <s v="D-1016"/>
        <s v="D-1031"/>
        <s v="D-1052"/>
        <s v="D-1087"/>
        <s v="D-1119"/>
        <s v="D-1175"/>
        <s v="D-1242"/>
        <s v="D-1114"/>
        <s v="D-1025"/>
        <s v="D-1081"/>
        <s v="D-1113"/>
        <s v="D-1149"/>
        <s v="D-1005"/>
        <s v="D-1049"/>
        <s v="D-1097"/>
        <s v="D-1159"/>
        <s v="D-1095"/>
        <s v="D-1236"/>
        <s v="D-1020"/>
        <s v="D-1023"/>
        <s v="D-1047"/>
        <s v="D-1074"/>
        <s v="D-1240"/>
        <s v="D-1032"/>
        <s v="D-1056"/>
        <s v="D-1184"/>
        <s v="D-1217"/>
        <s v="D-1076"/>
        <s v="D-1170"/>
        <s v="D-1171"/>
        <s v="D-1246"/>
        <s v="D-1028"/>
        <s v="D-1033"/>
        <s v="D-1157"/>
        <s v="D-1162"/>
        <s v="D-1179"/>
        <s v="D-1226"/>
        <s v="D-1034"/>
        <s v="D-1145"/>
        <s v="D-1021"/>
        <s v="D-1104"/>
        <s v="D-1126"/>
        <s v="D-1241"/>
        <s v="D-1039"/>
        <s v="D-1111"/>
        <s v="D-1137"/>
        <s v="D-1237"/>
        <s v="D-1026"/>
        <s v="D-1084"/>
        <s v="D-1174"/>
        <s v="D-1086"/>
        <s v="D-1094"/>
        <s v="D-1160"/>
        <s v="D-1004"/>
        <s v="D-1061"/>
        <s v="D-1065"/>
        <s v="D-1127"/>
        <s v="D-1060"/>
        <s v="D-1098"/>
        <s v="D-1096"/>
        <s v="D-1130"/>
        <s v="D-1151"/>
        <s v="D-1248"/>
        <s v="D-1040"/>
        <s v="D-1147"/>
        <s v="D-1183"/>
        <s v="D-1223"/>
        <s v="D-1036"/>
        <s v="D-1077"/>
        <s v="D-1173"/>
        <s v="D-1233"/>
        <s v="D-1193"/>
        <s v="D-1218"/>
        <s v="D-1078"/>
        <s v="D-1139"/>
        <s v="D-1176"/>
        <s v="D-1196"/>
        <s v="D-1228"/>
        <s v="D-1166"/>
        <s v="D-1238"/>
        <s v="D-1046"/>
        <s v="D-1163"/>
        <s v="D-1222"/>
        <s v="D-1043"/>
        <s v="D-1057"/>
        <s v="D-1090"/>
        <s v="D-1204"/>
        <s v="D-1072"/>
        <s v="D-1192"/>
        <s v="D-1030"/>
        <s v="D-1118"/>
        <s v="D-1201"/>
        <s v="D-1212"/>
        <s v="D-1053"/>
        <s v="D-1070"/>
        <s v="D-1177"/>
        <s v="D-1188"/>
        <s v="D-1018"/>
        <s v="D-1022"/>
        <s v="D-1165"/>
        <s v="D-1189"/>
        <s v="D-1156"/>
        <s v="D-1019"/>
        <s v="D-1128"/>
        <s v="D-1168"/>
        <s v="D-1186"/>
        <s v="D-1225"/>
        <s v="D-1227"/>
        <s v="D-1024"/>
        <s v="D-1069"/>
        <s v="D-1080"/>
        <s v="D-1120"/>
        <s v="D-1185"/>
      </sharedItems>
    </cacheField>
    <cacheField name="Date" numFmtId="164">
      <sharedItems containsSemiMixedTypes="0" containsDate="1" containsString="0">
        <d v="2025-01-01T00:00:00Z"/>
        <d v="2025-01-02T00:00:00Z"/>
        <d v="2025-01-04T00:00:00Z"/>
        <d v="2025-01-05T00:00:00Z"/>
        <d v="2025-01-06T00:00:00Z"/>
        <d v="2025-01-07T00:00:00Z"/>
        <d v="2025-01-08T00:00:00Z"/>
        <d v="2025-01-09T00:00:00Z"/>
        <d v="2025-01-10T00:00:00Z"/>
        <d v="2025-01-11T00:00:00Z"/>
        <d v="2025-01-12T00:00:00Z"/>
        <d v="2025-01-13T00:00:00Z"/>
        <d v="2025-01-14T00:00:00Z"/>
        <d v="2025-01-15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sharedItems>
    </cacheField>
    <cacheField name="CustomerName" numFmtId="0">
      <sharedItems>
        <s v="Helix Systems"/>
        <s v="Meridian Group"/>
        <s v="Fusion Group"/>
        <s v="Nova Inc"/>
        <s v="Catalyst Inc"/>
        <s v="Nimbus Co"/>
        <s v="Summit Group"/>
        <s v="Northwind Co"/>
        <s v="Lumen Labs"/>
        <s v="Kestrel Co"/>
        <s v="Borealis Co"/>
        <s v="Phoenix Co"/>
        <s v="Apex Group"/>
        <s v="Rivet Co"/>
        <s v="Quanta Labs"/>
        <s v="Onyx Group"/>
        <s v="Granite Co"/>
        <s v="Stellar Co"/>
        <s v="Cascade Group"/>
        <s v="Juniper Group"/>
        <s v="Lattice Co"/>
        <s v="Beacon Labs"/>
        <s v="Foundry Group"/>
        <s v="Echo Labs"/>
        <s v="Arcadia Inc"/>
        <s v="Quill Labs"/>
        <s v="Quartz Co"/>
        <s v="Pacific Co"/>
        <s v="Harbor Inc"/>
        <s v="Vertex Inc"/>
        <s v="Solstice Group"/>
        <s v="Orbit Co"/>
        <s v="Driftwood Co"/>
        <s v="Prism Group"/>
        <s v="Verdant Inc"/>
        <s v="Obsidian Co"/>
        <s v="Citadel Group"/>
        <s v="Kinetic Labs"/>
        <s v="Atlas Group"/>
        <s v="Iris Co"/>
      </sharedItems>
    </cacheField>
    <cacheField name="CategoryName" numFmtId="0">
      <sharedItems>
        <s v="Starter Plan"/>
        <s v="Pro Plan"/>
        <s v="Add-On: Support"/>
        <s v="Business Plan"/>
        <s v="Enterprise Plan"/>
        <s v="Add-On: Analytics"/>
      </sharedItems>
    </cacheField>
    <cacheField name="SalesRep" numFmtId="0">
      <sharedItems>
        <s v="Nina Petrov"/>
        <s v="Tom Wilson"/>
        <s v="Marcus Johnson"/>
        <s v="Elena Rossi"/>
        <s v="James Park"/>
        <s v="David Kim"/>
        <s v="Carlos Mendez"/>
        <s v="Hannah Lee"/>
        <s v="Sophie Laurent"/>
        <s v="Priya Patel"/>
        <s v="Raj Sharma"/>
        <s v="Aisha Hassan"/>
      </sharedItems>
    </cacheField>
    <cacheField name="Manager" numFmtId="0">
      <sharedItems>
        <s v="Lukas Becker"/>
        <s v="Sarah Chen"/>
        <s v="Owen Walsh"/>
        <s v="Maya Rodriguez"/>
      </sharedItems>
    </cacheField>
    <cacheField name="Region" numFmtId="0">
      <sharedItems>
        <s v="North America"/>
        <s v="LATAM"/>
        <s v="EMEA"/>
        <s v="APAC"/>
      </sharedItems>
    </cacheField>
    <cacheField name="Units" numFmtId="0">
      <sharedItems containsSemiMixedTypes="0" containsString="0" containsNumber="1" containsInteger="1">
        <n v="2.0"/>
        <n v="10.0"/>
        <n v="1.0"/>
        <n v="5.0"/>
        <n v="20.0"/>
        <n v="50.0"/>
      </sharedItems>
    </cacheField>
    <cacheField name="UnitPrice" numFmtId="165">
      <sharedItems containsSemiMixedTypes="0" containsString="0" containsNumber="1">
        <n v="44.27"/>
        <n v="224.49"/>
        <n v="248.58"/>
        <n v="112.19"/>
        <n v="73.94"/>
        <n v="369.19"/>
        <n v="1198.59"/>
        <n v="1182.78"/>
        <n v="68.06"/>
        <n v="118.97"/>
        <n v="53.28"/>
        <n v="992.76"/>
        <n v="249.04"/>
        <n v="386.52"/>
        <n v="226.12"/>
        <n v="73.28"/>
        <n v="45.99"/>
        <n v="70.68"/>
        <n v="192.21"/>
        <n v="193.5"/>
        <n v="53.39"/>
        <n v="202.22"/>
        <n v="69.69"/>
        <n v="93.27"/>
        <n v="74.69"/>
        <n v="92.92"/>
        <n v="1388.69"/>
        <n v="72.26"/>
        <n v="1234.13"/>
        <n v="219.47"/>
        <n v="276.18"/>
        <n v="63.25"/>
        <n v="70.61"/>
        <n v="171.17"/>
        <n v="161.18"/>
        <n v="95.39"/>
        <n v="63.23"/>
        <n v="45.33"/>
        <n v="213.81"/>
        <n v="251.17"/>
        <n v="92.43"/>
        <n v="422.7"/>
        <n v="409.02"/>
        <n v="177.21"/>
        <n v="230.19"/>
        <n v="66.71"/>
        <n v="426.07"/>
        <n v="233.74"/>
        <n v="420.94"/>
        <n v="410.61"/>
        <n v="451.68"/>
        <n v="1180.76"/>
        <n v="214.71"/>
        <n v="82.73"/>
        <n v="389.23"/>
        <n v="407.67"/>
        <n v="295.34"/>
        <n v="71.39"/>
        <n v="103.1"/>
        <n v="49.8"/>
        <n v="58.38"/>
        <n v="404.19"/>
        <n v="59.94"/>
        <n v="146.67"/>
        <n v="153.06"/>
        <n v="73.95"/>
        <n v="67.43"/>
        <n v="79.13"/>
        <n v="189.77"/>
        <n v="260.51"/>
        <n v="98.54"/>
        <n v="46.97"/>
        <n v="76.11"/>
        <n v="256.91"/>
        <n v="425.85"/>
        <n v="132.73"/>
        <n v="42.63"/>
        <n v="53.37"/>
        <n v="243.59"/>
        <n v="116.31"/>
        <n v="428.51"/>
        <n v="61.21"/>
        <n v="154.79"/>
        <n v="402.09"/>
        <n v="188.38"/>
        <n v="195.73"/>
        <n v="487.09"/>
        <n v="1330.75"/>
        <n v="932.32"/>
        <n v="493.26"/>
        <n v="45.35"/>
        <n v="479.31"/>
        <n v="49.17"/>
        <n v="114.94"/>
        <n v="1035.34"/>
        <n v="122.21"/>
        <n v="1004.37"/>
        <n v="49.89"/>
        <n v="104.29"/>
        <n v="107.07"/>
        <n v="285.02"/>
        <n v="42.45"/>
        <n v="53.74"/>
        <n v="474.26"/>
        <n v="240.29"/>
        <n v="973.3"/>
        <n v="418.06"/>
        <n v="431.34"/>
        <n v="193.4"/>
        <n v="249.29"/>
        <n v="42.9"/>
        <n v="184.49"/>
        <n v="54.56"/>
        <n v="45.13"/>
        <n v="74.46"/>
        <n v="235.36"/>
        <n v="228.23"/>
        <n v="81.9"/>
        <n v="1118.07"/>
        <n v="440.61"/>
        <n v="205.16"/>
        <n v="57.44"/>
        <n v="78.92"/>
        <n v="410.14"/>
        <n v="52.69"/>
        <n v="110.27"/>
        <n v="287.77"/>
        <n v="104.56"/>
        <n v="1339.78"/>
        <n v="60.51"/>
        <n v="40.5"/>
        <n v="288.1"/>
        <n v="415.25"/>
        <n v="42.09"/>
        <n v="987.06"/>
        <n v="72.12"/>
        <n v="62.85"/>
        <n v="273.36"/>
        <n v="71.74"/>
        <n v="490.82"/>
        <n v="400.66"/>
        <n v="157.24"/>
        <n v="60.23"/>
        <n v="46.99"/>
        <n v="43.17"/>
        <n v="75.66"/>
        <n v="377.71"/>
        <n v="180.13"/>
        <n v="58.15"/>
        <n v="233.69"/>
        <n v="67.42"/>
        <n v="486.21"/>
        <n v="985.63"/>
        <n v="46.11"/>
        <n v="289.32"/>
        <n v="162.02"/>
        <n v="64.75"/>
        <n v="110.31"/>
        <n v="70.58"/>
        <n v="244.89"/>
        <n v="45.23"/>
        <n v="77.48"/>
        <n v="259.85"/>
        <n v="293.39"/>
        <n v="288.79"/>
        <n v="447.2"/>
        <n v="41.17"/>
        <n v="481.6"/>
        <n v="131.72"/>
        <n v="181.14"/>
        <n v="185.31"/>
        <n v="262.29"/>
        <n v="1309.46"/>
        <n v="408.62"/>
        <n v="65.03"/>
        <n v="498.06"/>
        <n v="74.98"/>
        <n v="59.68"/>
        <n v="170.37"/>
        <n v="250.52"/>
        <n v="47.54"/>
        <n v="477.27"/>
        <n v="222.01"/>
        <n v="79.56"/>
        <n v="150.54"/>
        <n v="48.7"/>
        <n v="153.64"/>
        <n v="203.26"/>
        <n v="433.61"/>
        <n v="186.32"/>
        <n v="492.03"/>
        <n v="213.15"/>
        <n v="67.86"/>
        <n v="63.83"/>
        <n v="60.18"/>
        <n v="57.15"/>
        <n v="404.44"/>
        <n v="368.26"/>
        <n v="72.31"/>
        <n v="1203.23"/>
        <n v="76.75"/>
        <n v="162.59"/>
        <n v="58.93"/>
        <n v="382.36"/>
        <n v="1266.86"/>
        <n v="152.98"/>
        <n v="226.97"/>
        <n v="229.82"/>
        <n v="81.95"/>
        <n v="49.92"/>
        <n v="99.78"/>
        <n v="403.84"/>
        <n v="120.48"/>
        <n v="62.77"/>
        <n v="60.9"/>
        <n v="75.13"/>
        <n v="44.69"/>
        <n v="1266.5"/>
        <n v="135.5"/>
        <n v="277.92"/>
        <n v="105.63"/>
        <n v="421.73"/>
        <n v="47.6"/>
        <n v="102.63"/>
        <n v="196.02"/>
        <n v="218.98"/>
        <n v="147.96"/>
        <n v="475.9"/>
        <n v="224.95"/>
        <n v="283.25"/>
        <n v="48.49"/>
        <n v="265.15"/>
        <n v="67.1"/>
        <n v="187.23"/>
        <n v="1227.17"/>
        <n v="100.36"/>
        <n v="95.13"/>
        <n v="66.01"/>
        <n v="445.67"/>
        <n v="72.37"/>
        <n v="1360.14"/>
        <n v="201.51"/>
        <n v="59.63"/>
        <n v="78.24"/>
        <n v="63.35"/>
        <n v="250.06"/>
        <n v="415.38"/>
        <n v="967.42"/>
        <n v="958.86"/>
        <n v="75.29"/>
      </sharedItems>
    </cacheField>
    <cacheField name="Revenue" numFmtId="165">
      <sharedItems containsSemiMixedTypes="0" containsString="0" containsNumber="1">
        <n v="88.54"/>
        <n v="2244.9"/>
        <n v="497.16"/>
        <n v="112.19"/>
        <n v="73.94"/>
        <n v="1845.95"/>
        <n v="1198.59"/>
        <n v="2365.56"/>
        <n v="68.06"/>
        <n v="237.94"/>
        <n v="266.4"/>
        <n v="992.76"/>
        <n v="4980.8"/>
        <n v="386.52"/>
        <n v="226.12"/>
        <n v="73.28"/>
        <n v="229.95000000000002"/>
        <n v="3534.0000000000005"/>
        <n v="3844.2000000000003"/>
        <n v="387.0"/>
        <n v="53.39"/>
        <n v="202.22"/>
        <n v="348.45"/>
        <n v="93.27"/>
        <n v="373.45"/>
        <n v="92.92"/>
        <n v="1388.69"/>
        <n v="3613.0000000000005"/>
        <n v="1234.13"/>
        <n v="219.47"/>
        <n v="276.18"/>
        <n v="1265.0"/>
        <n v="70.61"/>
        <n v="342.34"/>
        <n v="161.18"/>
        <n v="95.39"/>
        <n v="63.23"/>
        <n v="45.33"/>
        <n v="213.81"/>
        <n v="502.34"/>
        <n v="92.43"/>
        <n v="2113.5"/>
        <n v="818.04"/>
        <n v="886.0500000000001"/>
        <n v="1150.95"/>
        <n v="66.71"/>
        <n v="426.07"/>
        <n v="467.48"/>
        <n v="420.94"/>
        <n v="410.61"/>
        <n v="451.68"/>
        <n v="23615.2"/>
        <n v="10735.5"/>
        <n v="827.3000000000001"/>
        <n v="389.23"/>
        <n v="407.67"/>
        <n v="295.34"/>
        <n v="713.9"/>
        <n v="515.5"/>
        <n v="996.0"/>
        <n v="291.90000000000003"/>
        <n v="2020.95"/>
        <n v="1198.8"/>
        <n v="146.67"/>
        <n v="306.12"/>
        <n v="73.95"/>
        <n v="337.15000000000003"/>
        <n v="1582.6"/>
        <n v="189.77"/>
        <n v="260.51"/>
        <n v="1970.8000000000002"/>
        <n v="46.97"/>
        <n v="76.11"/>
        <n v="256.91"/>
        <n v="851.7"/>
        <n v="132.73"/>
        <n v="85.26"/>
        <n v="533.6999999999999"/>
        <n v="243.59"/>
        <n v="116.31"/>
        <n v="428.51"/>
        <n v="61.21"/>
        <n v="773.9499999999999"/>
        <n v="402.09"/>
        <n v="376.76"/>
        <n v="195.73"/>
        <n v="9741.8"/>
        <n v="13307.5"/>
        <n v="46616.0"/>
        <n v="493.26"/>
        <n v="226.75"/>
        <n v="479.31"/>
        <n v="49.17"/>
        <n v="114.94"/>
        <n v="2070.68"/>
        <n v="244.42"/>
        <n v="20087.4"/>
        <n v="99.78"/>
        <n v="104.29"/>
        <n v="1070.6999999999998"/>
        <n v="285.02"/>
        <n v="212.25"/>
        <n v="53.74"/>
        <n v="2371.3"/>
        <n v="480.58"/>
        <n v="973.3"/>
        <n v="2090.3"/>
        <n v="2156.7"/>
        <n v="967.0"/>
        <n v="1246.45"/>
        <n v="42.9"/>
        <n v="184.49"/>
        <n v="54.56"/>
        <n v="90.26"/>
        <n v="74.46"/>
        <n v="235.36"/>
        <n v="4564.599999999999"/>
        <n v="1638.0"/>
        <n v="11180.699999999999"/>
        <n v="440.61"/>
        <n v="4103.2"/>
        <n v="57.44"/>
        <n v="78.92"/>
        <n v="820.28"/>
        <n v="263.45"/>
        <n v="1102.7"/>
        <n v="287.77"/>
        <n v="104.56"/>
        <n v="1339.78"/>
        <n v="60.51"/>
        <n v="202.5"/>
        <n v="5762.0"/>
        <n v="415.25"/>
        <n v="84.18"/>
        <n v="9870.599999999999"/>
        <n v="144.24"/>
        <n v="3142.5"/>
        <n v="546.72"/>
        <n v="3586.9999999999995"/>
        <n v="4908.2"/>
        <n v="801.32"/>
        <n v="786.2"/>
        <n v="60.23"/>
        <n v="46.99"/>
        <n v="86.34"/>
        <n v="756.5999999999999"/>
        <n v="377.71"/>
        <n v="360.26"/>
        <n v="581.5"/>
        <n v="233.69"/>
        <n v="67.42"/>
        <n v="486.21"/>
        <n v="985.63"/>
        <n v="92.22"/>
        <n v="1446.6"/>
        <n v="1620.2"/>
        <n v="1295.0"/>
        <n v="2206.2"/>
        <n v="70.58"/>
        <n v="244.89"/>
        <n v="45.23"/>
        <n v="154.96"/>
        <n v="1299.25"/>
        <n v="293.39"/>
        <n v="288.79"/>
        <n v="894.4"/>
        <n v="41.17"/>
        <n v="2408.0"/>
        <n v="658.6"/>
        <n v="362.28"/>
        <n v="926.55"/>
        <n v="524.58"/>
        <n v="1309.46"/>
        <n v="817.24"/>
        <n v="130.06"/>
        <n v="498.06"/>
        <n v="1499.6000000000001"/>
        <n v="59.68"/>
        <n v="851.85"/>
        <n v="2505.2000000000003"/>
        <n v="47.54"/>
        <n v="954.54"/>
        <n v="2220.1"/>
        <n v="159.12"/>
        <n v="752.6999999999999"/>
        <n v="97.4"/>
        <n v="153.64"/>
        <n v="203.26"/>
        <n v="2168.05"/>
        <n v="186.32"/>
        <n v="492.03"/>
        <n v="1065.75"/>
        <n v="135.72"/>
        <n v="127.66"/>
        <n v="300.9"/>
        <n v="114.3"/>
        <n v="404.44"/>
        <n v="7365.2"/>
        <n v="723.1"/>
        <n v="24064.6"/>
        <n v="76.75"/>
        <n v="1625.9"/>
        <n v="117.86"/>
        <n v="382.36"/>
        <n v="1266.86"/>
        <n v="152.98"/>
        <n v="453.94"/>
        <n v="229.82"/>
        <n v="1639.0"/>
        <n v="499.20000000000005"/>
        <n v="199.56"/>
        <n v="403.84"/>
        <n v="120.48"/>
        <n v="125.54"/>
        <n v="60.9"/>
        <n v="375.65"/>
        <n v="89.38"/>
        <n v="2533.0"/>
        <n v="1355.0"/>
        <n v="277.92"/>
        <n v="528.15"/>
        <n v="843.46"/>
        <n v="238.0"/>
        <n v="102.63"/>
        <n v="196.02"/>
        <n v="437.96"/>
        <n v="147.96"/>
        <n v="475.9"/>
        <n v="224.95"/>
        <n v="566.5"/>
        <n v="2424.5"/>
        <n v="5303.0"/>
        <n v="67.1"/>
        <n v="187.23"/>
        <n v="1227.17"/>
        <n v="200.72"/>
        <n v="95.13"/>
        <n v="66.01"/>
        <n v="891.34"/>
        <n v="72.37"/>
        <n v="1360.14"/>
        <n v="10075.5"/>
        <n v="59.63"/>
        <n v="78.24"/>
        <n v="126.7"/>
        <n v="250.06"/>
        <n v="415.38"/>
        <n v="967.42"/>
        <n v="958.86"/>
        <n v="150.58"/>
      </sharedItems>
    </cacheField>
    <cacheField name="Monat" numFmtId="0">
      <sharedItems>
        <s v="Januar"/>
        <s v="Februar"/>
        <s v="Mär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ellen" cacheId="0" dataCaption="" compact="0" compactData="0">
  <location ref="A3:H17" firstHeaderRow="0" firstDataRow="1" firstDataCol="1"/>
  <pivotFields>
    <pivotField name="Deal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ategoryName" axis="axisCol" compact="0" outline="0" multipleItemSelectionAllowed="1" showAll="0" sortType="descending">
      <items>
        <item x="0"/>
        <item x="1"/>
        <item x="2"/>
        <item x="3"/>
        <item x="4"/>
        <item x="5"/>
        <item t="default"/>
      </items>
      <autoSortScope>
        <pivotArea>
          <references>
            <reference field="4294967294">
              <x v="0"/>
            </reference>
          </references>
        </pivotArea>
      </autoSortScope>
    </pivotField>
    <pivotField name="SalesRep"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Manager" compact="0" outline="0" multipleItemSelectionAllowed="1" showAll="0">
      <items>
        <item x="0"/>
        <item x="1"/>
        <item x="2"/>
        <item x="3"/>
        <item t="default"/>
      </items>
    </pivotField>
    <pivotField name="Region" compact="0" outline="0" multipleItemSelectionAllowed="1" showAll="0">
      <items>
        <item x="0"/>
        <item x="1"/>
        <item x="2"/>
        <item x="3"/>
        <item t="default"/>
      </items>
    </pivotField>
    <pivotField name="Units" compact="0" outline="0" multipleItemSelectionAllowed="1" showAll="0">
      <items>
        <item x="0"/>
        <item x="1"/>
        <item x="2"/>
        <item x="3"/>
        <item x="4"/>
        <item x="5"/>
        <item t="default"/>
      </items>
    </pivotField>
    <pivotField name="Unit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Monat" compact="0" outline="0" multipleItemSelectionAllowed="1" showAll="0">
      <items>
        <item x="0"/>
        <item x="1"/>
        <item x="2"/>
        <item t="default"/>
      </items>
    </pivotField>
  </pivotFields>
  <rowFields>
    <field x="4"/>
  </rowFields>
  <colFields>
    <field x="3"/>
  </colFields>
  <dataFields>
    <dataField name="SUM of Revenue" fld="9" baseField="0"/>
  </dataFields>
</pivotTableDefinition>
</file>

<file path=xl/pivotTables/pivotTable2.xml><?xml version="1.0" encoding="utf-8"?>
<pivotTableDefinition xmlns="http://schemas.openxmlformats.org/spreadsheetml/2006/main" name="Pivot-Tabellen 2" cacheId="0" dataCaption="" compact="0" compactData="0">
  <location ref="J3:O17" firstHeaderRow="0" firstDataRow="1" firstDataCol="1"/>
  <pivotFields>
    <pivotField name="Deal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ategoryName" compact="0" outline="0" multipleItemSelectionAllowed="1" showAll="0">
      <items>
        <item x="0"/>
        <item x="1"/>
        <item x="2"/>
        <item x="3"/>
        <item x="4"/>
        <item x="5"/>
        <item t="default"/>
      </items>
    </pivotField>
    <pivotField name="SalesRep" axis="axisRow" compact="0" outline="0" multipleItemSelectionAllowed="1" showAll="0" sortType="descending">
      <items>
        <item x="0"/>
        <item x="1"/>
        <item x="2"/>
        <item x="3"/>
        <item x="4"/>
        <item x="5"/>
        <item x="6"/>
        <item x="7"/>
        <item x="8"/>
        <item x="9"/>
        <item x="10"/>
        <item x="11"/>
        <item t="default"/>
      </items>
      <autoSortScope>
        <pivotArea>
          <references>
            <reference field="4294967294">
              <x v="0"/>
            </reference>
          </references>
        </pivotArea>
      </autoSortScope>
    </pivotField>
    <pivotField name="Manager" compact="0" outline="0" multipleItemSelectionAllowed="1" showAll="0">
      <items>
        <item x="0"/>
        <item x="1"/>
        <item x="2"/>
        <item x="3"/>
        <item t="default"/>
      </items>
    </pivotField>
    <pivotField name="Region" axis="axisCol" compact="0" outline="0" multipleItemSelectionAllowed="1" showAll="0" sortType="descending">
      <items>
        <item x="0"/>
        <item x="1"/>
        <item x="2"/>
        <item x="3"/>
        <item t="default"/>
      </items>
      <autoSortScope>
        <pivotArea>
          <references>
            <reference field="4294967294">
              <x v="0"/>
            </reference>
          </references>
        </pivotArea>
      </autoSortScope>
    </pivotField>
    <pivotField name="Units" compact="0" outline="0" multipleItemSelectionAllowed="1" showAll="0">
      <items>
        <item x="0"/>
        <item x="1"/>
        <item x="2"/>
        <item x="3"/>
        <item x="4"/>
        <item x="5"/>
        <item t="default"/>
      </items>
    </pivotField>
    <pivotField name="Unit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Monat" compact="0" outline="0" multipleItemSelectionAllowed="1" showAll="0">
      <items>
        <item x="0"/>
        <item x="1"/>
        <item x="2"/>
        <item t="default"/>
      </items>
    </pivotField>
  </pivotFields>
  <rowFields>
    <field x="4"/>
  </rowFields>
  <colFields>
    <field x="6"/>
  </colFields>
  <dataFields>
    <dataField name="SUM of Revenue" fld="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38"/>
    <col customWidth="1" min="3" max="3" width="21.5"/>
    <col customWidth="1" min="4" max="4" width="21.13"/>
    <col customWidth="1" min="5" max="5" width="19.0"/>
    <col customWidth="1" min="6" max="6" width="17.5"/>
    <col customWidth="1" min="7" max="7" width="17.63"/>
    <col customWidth="1" min="8" max="8" width="15.88"/>
    <col customWidth="1" min="9" max="9" width="18.5"/>
    <col customWidth="1" min="10" max="10" width="18.63"/>
  </cols>
  <sheetData>
    <row r="1" ht="15.75" customHeight="1">
      <c r="A1" s="1" t="s">
        <v>0</v>
      </c>
      <c r="B1" s="1" t="s">
        <v>2</v>
      </c>
      <c r="C1" s="1" t="s">
        <v>3</v>
      </c>
      <c r="D1" s="1" t="s">
        <v>4</v>
      </c>
      <c r="E1" s="1" t="s">
        <v>6</v>
      </c>
      <c r="F1" s="1" t="s">
        <v>7</v>
      </c>
      <c r="G1" s="1" t="s">
        <v>8</v>
      </c>
      <c r="H1" s="1" t="s">
        <v>9</v>
      </c>
      <c r="I1" s="1" t="s">
        <v>10</v>
      </c>
      <c r="J1" s="1" t="s">
        <v>11</v>
      </c>
    </row>
    <row r="2" ht="15.75" customHeight="1">
      <c r="A2" s="1" t="s">
        <v>12</v>
      </c>
      <c r="B2" s="4">
        <v>45658.0</v>
      </c>
      <c r="C2" s="1" t="s">
        <v>14</v>
      </c>
      <c r="D2" s="1" t="s">
        <v>15</v>
      </c>
      <c r="E2" s="1" t="s">
        <v>16</v>
      </c>
      <c r="F2" s="1" t="s">
        <v>17</v>
      </c>
      <c r="G2" s="1" t="s">
        <v>18</v>
      </c>
      <c r="H2" s="1">
        <v>2.0</v>
      </c>
      <c r="I2" s="1" t="s">
        <v>19</v>
      </c>
      <c r="J2" s="1" t="s">
        <v>20</v>
      </c>
    </row>
    <row r="3" ht="15.75" customHeight="1">
      <c r="A3" s="1" t="s">
        <v>21</v>
      </c>
      <c r="B3" s="4">
        <v>45658.0</v>
      </c>
      <c r="C3" s="1" t="s">
        <v>22</v>
      </c>
      <c r="D3" s="1" t="s">
        <v>23</v>
      </c>
      <c r="E3" s="1" t="s">
        <v>24</v>
      </c>
      <c r="F3" s="1" t="s">
        <v>17</v>
      </c>
      <c r="G3" s="1" t="s">
        <v>18</v>
      </c>
      <c r="H3" s="1">
        <v>10.0</v>
      </c>
      <c r="I3" s="1" t="s">
        <v>25</v>
      </c>
      <c r="J3" s="5">
        <v>125889.0</v>
      </c>
    </row>
    <row r="4" ht="15.75" customHeight="1">
      <c r="A4" s="1" t="s">
        <v>28</v>
      </c>
      <c r="B4" s="4">
        <v>45658.0</v>
      </c>
      <c r="C4" s="1" t="s">
        <v>29</v>
      </c>
      <c r="D4" s="1" t="s">
        <v>23</v>
      </c>
      <c r="E4" s="1" t="s">
        <v>30</v>
      </c>
      <c r="F4" s="1" t="s">
        <v>31</v>
      </c>
      <c r="G4" s="1" t="s">
        <v>32</v>
      </c>
      <c r="H4" s="1">
        <v>2.0</v>
      </c>
      <c r="I4" s="1" t="s">
        <v>33</v>
      </c>
      <c r="J4" s="1" t="s">
        <v>34</v>
      </c>
    </row>
    <row r="5" ht="15.75" customHeight="1">
      <c r="A5" s="1" t="s">
        <v>35</v>
      </c>
      <c r="B5" s="4">
        <v>45659.0</v>
      </c>
      <c r="C5" s="1" t="s">
        <v>36</v>
      </c>
      <c r="D5" s="1" t="s">
        <v>38</v>
      </c>
      <c r="E5" s="1" t="s">
        <v>39</v>
      </c>
      <c r="F5" s="1" t="s">
        <v>17</v>
      </c>
      <c r="G5" s="1" t="s">
        <v>40</v>
      </c>
      <c r="H5" s="1">
        <v>1.0</v>
      </c>
      <c r="I5" s="1" t="s">
        <v>41</v>
      </c>
      <c r="J5" s="1" t="s">
        <v>41</v>
      </c>
    </row>
    <row r="6" ht="15.75" customHeight="1">
      <c r="A6" s="1" t="s">
        <v>42</v>
      </c>
      <c r="B6" s="4">
        <v>45659.0</v>
      </c>
      <c r="C6" s="1" t="s">
        <v>43</v>
      </c>
      <c r="D6" s="1" t="s">
        <v>15</v>
      </c>
      <c r="E6" s="1" t="s">
        <v>39</v>
      </c>
      <c r="F6" s="1" t="s">
        <v>17</v>
      </c>
      <c r="G6" s="1" t="s">
        <v>18</v>
      </c>
      <c r="H6" s="1">
        <v>1.0</v>
      </c>
      <c r="I6" s="1" t="s">
        <v>44</v>
      </c>
      <c r="J6" s="1" t="s">
        <v>44</v>
      </c>
    </row>
    <row r="7" ht="15.75" customHeight="1">
      <c r="A7" s="1" t="s">
        <v>45</v>
      </c>
      <c r="B7" s="4">
        <v>45659.0</v>
      </c>
      <c r="C7" s="1" t="s">
        <v>46</v>
      </c>
      <c r="D7" s="1" t="s">
        <v>47</v>
      </c>
      <c r="E7" s="1" t="s">
        <v>48</v>
      </c>
      <c r="F7" s="1" t="s">
        <v>50</v>
      </c>
      <c r="G7" s="1" t="s">
        <v>18</v>
      </c>
      <c r="H7" s="1">
        <v>5.0</v>
      </c>
      <c r="I7" s="1" t="s">
        <v>51</v>
      </c>
      <c r="J7" s="1" t="s">
        <v>52</v>
      </c>
    </row>
    <row r="8" ht="15.75" customHeight="1">
      <c r="A8" s="1" t="s">
        <v>55</v>
      </c>
      <c r="B8" s="4">
        <v>45659.0</v>
      </c>
      <c r="C8" s="1" t="s">
        <v>57</v>
      </c>
      <c r="D8" s="1" t="s">
        <v>58</v>
      </c>
      <c r="E8" s="1" t="s">
        <v>39</v>
      </c>
      <c r="F8" s="1" t="s">
        <v>17</v>
      </c>
      <c r="G8" s="1" t="s">
        <v>18</v>
      </c>
      <c r="H8" s="1">
        <v>1.0</v>
      </c>
      <c r="I8" s="1" t="s">
        <v>61</v>
      </c>
      <c r="J8" s="1" t="s">
        <v>61</v>
      </c>
    </row>
    <row r="9" ht="15.75" customHeight="1">
      <c r="A9" s="1" t="s">
        <v>63</v>
      </c>
      <c r="B9" s="4">
        <v>45661.0</v>
      </c>
      <c r="C9" s="1" t="s">
        <v>65</v>
      </c>
      <c r="D9" s="1" t="s">
        <v>58</v>
      </c>
      <c r="E9" s="1" t="s">
        <v>67</v>
      </c>
      <c r="F9" s="1" t="s">
        <v>31</v>
      </c>
      <c r="G9" s="1" t="s">
        <v>40</v>
      </c>
      <c r="H9" s="1">
        <v>2.0</v>
      </c>
      <c r="I9" s="1" t="s">
        <v>69</v>
      </c>
      <c r="J9" s="1" t="s">
        <v>71</v>
      </c>
    </row>
    <row r="10" ht="15.75" customHeight="1">
      <c r="A10" s="1" t="s">
        <v>72</v>
      </c>
      <c r="B10" s="4">
        <v>45661.0</v>
      </c>
      <c r="C10" s="1" t="s">
        <v>74</v>
      </c>
      <c r="D10" s="1" t="s">
        <v>15</v>
      </c>
      <c r="E10" s="1" t="s">
        <v>76</v>
      </c>
      <c r="F10" s="1" t="s">
        <v>77</v>
      </c>
      <c r="G10" s="1" t="s">
        <v>40</v>
      </c>
      <c r="H10" s="1">
        <v>1.0</v>
      </c>
      <c r="I10" s="1" t="s">
        <v>79</v>
      </c>
      <c r="J10" s="1" t="s">
        <v>79</v>
      </c>
    </row>
    <row r="11" ht="15.75" customHeight="1">
      <c r="A11" s="1" t="s">
        <v>80</v>
      </c>
      <c r="B11" s="4">
        <v>45661.0</v>
      </c>
      <c r="C11" s="1" t="s">
        <v>81</v>
      </c>
      <c r="D11" s="1" t="s">
        <v>38</v>
      </c>
      <c r="E11" s="1" t="s">
        <v>24</v>
      </c>
      <c r="F11" s="1" t="s">
        <v>17</v>
      </c>
      <c r="G11" s="1" t="s">
        <v>82</v>
      </c>
      <c r="H11" s="1">
        <v>2.0</v>
      </c>
      <c r="I11" s="1" t="s">
        <v>83</v>
      </c>
      <c r="J11" s="1" t="s">
        <v>84</v>
      </c>
    </row>
    <row r="12" ht="15.75" customHeight="1">
      <c r="A12" s="1" t="s">
        <v>85</v>
      </c>
      <c r="B12" s="4">
        <v>45661.0</v>
      </c>
      <c r="C12" s="1" t="s">
        <v>36</v>
      </c>
      <c r="D12" s="1" t="s">
        <v>15</v>
      </c>
      <c r="E12" s="1" t="s">
        <v>30</v>
      </c>
      <c r="F12" s="1" t="s">
        <v>31</v>
      </c>
      <c r="G12" s="1" t="s">
        <v>32</v>
      </c>
      <c r="H12" s="1">
        <v>5.0</v>
      </c>
      <c r="I12" s="1" t="s">
        <v>86</v>
      </c>
      <c r="J12" s="1" t="s">
        <v>87</v>
      </c>
    </row>
    <row r="13" ht="15.75" customHeight="1">
      <c r="A13" s="1" t="s">
        <v>88</v>
      </c>
      <c r="B13" s="4">
        <v>45661.0</v>
      </c>
      <c r="C13" s="1" t="s">
        <v>89</v>
      </c>
      <c r="D13" s="1" t="s">
        <v>58</v>
      </c>
      <c r="E13" s="1" t="s">
        <v>30</v>
      </c>
      <c r="F13" s="1" t="s">
        <v>31</v>
      </c>
      <c r="G13" s="1" t="s">
        <v>40</v>
      </c>
      <c r="H13" s="1">
        <v>1.0</v>
      </c>
      <c r="I13" s="1" t="s">
        <v>90</v>
      </c>
      <c r="J13" s="1" t="s">
        <v>90</v>
      </c>
    </row>
    <row r="14" ht="15.75" customHeight="1">
      <c r="A14" s="1" t="s">
        <v>92</v>
      </c>
      <c r="B14" s="4">
        <v>45662.0</v>
      </c>
      <c r="C14" s="1" t="s">
        <v>93</v>
      </c>
      <c r="D14" s="1" t="s">
        <v>23</v>
      </c>
      <c r="E14" s="1" t="s">
        <v>24</v>
      </c>
      <c r="F14" s="1" t="s">
        <v>17</v>
      </c>
      <c r="G14" s="1" t="s">
        <v>94</v>
      </c>
      <c r="H14" s="1">
        <v>20.0</v>
      </c>
      <c r="I14" s="1" t="s">
        <v>95</v>
      </c>
      <c r="J14" s="5">
        <v>1125162.0</v>
      </c>
    </row>
    <row r="15" ht="15.75" customHeight="1">
      <c r="A15" s="1" t="s">
        <v>96</v>
      </c>
      <c r="B15" s="4">
        <v>45662.0</v>
      </c>
      <c r="C15" s="1" t="s">
        <v>97</v>
      </c>
      <c r="D15" s="1" t="s">
        <v>47</v>
      </c>
      <c r="E15" s="1" t="s">
        <v>67</v>
      </c>
      <c r="F15" s="1" t="s">
        <v>31</v>
      </c>
      <c r="G15" s="1" t="s">
        <v>82</v>
      </c>
      <c r="H15" s="1">
        <v>1.0</v>
      </c>
      <c r="I15" s="1" t="s">
        <v>98</v>
      </c>
      <c r="J15" s="1" t="s">
        <v>98</v>
      </c>
    </row>
    <row r="16" ht="15.75" customHeight="1">
      <c r="A16" s="1" t="s">
        <v>99</v>
      </c>
      <c r="B16" s="4">
        <v>45662.0</v>
      </c>
      <c r="C16" s="1" t="s">
        <v>81</v>
      </c>
      <c r="D16" s="1" t="s">
        <v>23</v>
      </c>
      <c r="E16" s="1" t="s">
        <v>39</v>
      </c>
      <c r="F16" s="1" t="s">
        <v>17</v>
      </c>
      <c r="G16" s="1" t="s">
        <v>18</v>
      </c>
      <c r="H16" s="1">
        <v>1.0</v>
      </c>
      <c r="I16" s="1" t="s">
        <v>100</v>
      </c>
      <c r="J16" s="1" t="s">
        <v>101</v>
      </c>
    </row>
    <row r="17" ht="15.75" customHeight="1">
      <c r="A17" s="1" t="s">
        <v>102</v>
      </c>
      <c r="B17" s="4">
        <v>45662.0</v>
      </c>
      <c r="C17" s="1" t="s">
        <v>103</v>
      </c>
      <c r="D17" s="1" t="s">
        <v>15</v>
      </c>
      <c r="E17" s="1" t="s">
        <v>48</v>
      </c>
      <c r="F17" s="1" t="s">
        <v>50</v>
      </c>
      <c r="G17" s="1" t="s">
        <v>94</v>
      </c>
      <c r="H17" s="1">
        <v>1.0</v>
      </c>
      <c r="I17" s="1" t="s">
        <v>105</v>
      </c>
      <c r="J17" s="1" t="s">
        <v>105</v>
      </c>
    </row>
    <row r="18" ht="15.75" customHeight="1">
      <c r="A18" s="1" t="s">
        <v>106</v>
      </c>
      <c r="B18" s="4">
        <v>45662.0</v>
      </c>
      <c r="C18" s="1" t="s">
        <v>89</v>
      </c>
      <c r="D18" s="1" t="s">
        <v>15</v>
      </c>
      <c r="E18" s="1" t="s">
        <v>107</v>
      </c>
      <c r="F18" s="1" t="s">
        <v>50</v>
      </c>
      <c r="G18" s="1" t="s">
        <v>40</v>
      </c>
      <c r="H18" s="1">
        <v>5.0</v>
      </c>
      <c r="I18" s="1" t="s">
        <v>108</v>
      </c>
      <c r="J18" s="1" t="s">
        <v>109</v>
      </c>
    </row>
    <row r="19" ht="15.75" customHeight="1">
      <c r="A19" s="1" t="s">
        <v>110</v>
      </c>
      <c r="B19" s="4">
        <v>45662.0</v>
      </c>
      <c r="C19" s="1" t="s">
        <v>111</v>
      </c>
      <c r="D19" s="1" t="s">
        <v>15</v>
      </c>
      <c r="E19" s="1" t="s">
        <v>107</v>
      </c>
      <c r="F19" s="1" t="s">
        <v>50</v>
      </c>
      <c r="G19" s="1" t="s">
        <v>82</v>
      </c>
      <c r="H19" s="1">
        <v>50.0</v>
      </c>
      <c r="I19" s="1" t="s">
        <v>112</v>
      </c>
      <c r="J19" s="1" t="s">
        <v>113</v>
      </c>
    </row>
    <row r="20" ht="15.75" customHeight="1">
      <c r="A20" s="1" t="s">
        <v>114</v>
      </c>
      <c r="B20" s="4">
        <v>45662.0</v>
      </c>
      <c r="C20" s="1" t="s">
        <v>46</v>
      </c>
      <c r="D20" s="1" t="s">
        <v>23</v>
      </c>
      <c r="E20" s="1" t="s">
        <v>48</v>
      </c>
      <c r="F20" s="1" t="s">
        <v>50</v>
      </c>
      <c r="G20" s="1" t="s">
        <v>40</v>
      </c>
      <c r="H20" s="1">
        <v>20.0</v>
      </c>
      <c r="I20" s="1" t="s">
        <v>115</v>
      </c>
      <c r="J20" s="5">
        <v>710064.0</v>
      </c>
    </row>
    <row r="21" ht="15.75" customHeight="1">
      <c r="A21" s="1" t="s">
        <v>116</v>
      </c>
      <c r="B21" s="4">
        <v>45662.0</v>
      </c>
      <c r="C21" s="1" t="s">
        <v>117</v>
      </c>
      <c r="D21" s="1" t="s">
        <v>23</v>
      </c>
      <c r="E21" s="1" t="s">
        <v>118</v>
      </c>
      <c r="F21" s="1" t="s">
        <v>77</v>
      </c>
      <c r="G21" s="1" t="s">
        <v>18</v>
      </c>
      <c r="H21" s="1">
        <v>2.0</v>
      </c>
      <c r="I21" s="1" t="s">
        <v>120</v>
      </c>
      <c r="J21" s="1" t="s">
        <v>121</v>
      </c>
    </row>
    <row r="22" ht="15.75" customHeight="1">
      <c r="A22" s="1" t="s">
        <v>122</v>
      </c>
      <c r="B22" s="4">
        <v>45663.0</v>
      </c>
      <c r="C22" s="1" t="s">
        <v>29</v>
      </c>
      <c r="D22" s="1" t="s">
        <v>15</v>
      </c>
      <c r="E22" s="1" t="s">
        <v>30</v>
      </c>
      <c r="F22" s="1" t="s">
        <v>31</v>
      </c>
      <c r="G22" s="1" t="s">
        <v>82</v>
      </c>
      <c r="H22" s="1">
        <v>1.0</v>
      </c>
      <c r="I22" s="1" t="s">
        <v>123</v>
      </c>
      <c r="J22" s="1" t="s">
        <v>124</v>
      </c>
    </row>
    <row r="23" ht="15.75" customHeight="1">
      <c r="A23" s="1" t="s">
        <v>125</v>
      </c>
      <c r="B23" s="4">
        <v>45663.0</v>
      </c>
      <c r="C23" s="1" t="s">
        <v>57</v>
      </c>
      <c r="D23" s="1" t="s">
        <v>23</v>
      </c>
      <c r="E23" s="1" t="s">
        <v>76</v>
      </c>
      <c r="F23" s="1" t="s">
        <v>77</v>
      </c>
      <c r="G23" s="1" t="s">
        <v>82</v>
      </c>
      <c r="H23" s="1">
        <v>1.0</v>
      </c>
      <c r="I23" s="1" t="s">
        <v>126</v>
      </c>
      <c r="J23" s="1" t="s">
        <v>126</v>
      </c>
    </row>
    <row r="24" ht="15.75" customHeight="1">
      <c r="A24" s="1" t="s">
        <v>127</v>
      </c>
      <c r="B24" s="4">
        <v>45663.0</v>
      </c>
      <c r="C24" s="1" t="s">
        <v>97</v>
      </c>
      <c r="D24" s="1" t="s">
        <v>128</v>
      </c>
      <c r="E24" s="1" t="s">
        <v>48</v>
      </c>
      <c r="F24" s="1" t="s">
        <v>50</v>
      </c>
      <c r="G24" s="1" t="s">
        <v>32</v>
      </c>
      <c r="H24" s="1">
        <v>5.0</v>
      </c>
      <c r="I24" s="1" t="s">
        <v>129</v>
      </c>
      <c r="J24" s="1" t="s">
        <v>130</v>
      </c>
    </row>
    <row r="25" ht="15.75" customHeight="1">
      <c r="A25" s="1" t="s">
        <v>131</v>
      </c>
      <c r="B25" s="4">
        <v>45664.0</v>
      </c>
      <c r="C25" s="1" t="s">
        <v>132</v>
      </c>
      <c r="D25" s="1" t="s">
        <v>38</v>
      </c>
      <c r="E25" s="1" t="s">
        <v>30</v>
      </c>
      <c r="F25" s="1" t="s">
        <v>31</v>
      </c>
      <c r="G25" s="1" t="s">
        <v>18</v>
      </c>
      <c r="H25" s="1">
        <v>1.0</v>
      </c>
      <c r="I25" s="1" t="s">
        <v>133</v>
      </c>
      <c r="J25" s="1" t="s">
        <v>133</v>
      </c>
    </row>
    <row r="26" ht="15.75" customHeight="1">
      <c r="A26" s="1" t="s">
        <v>134</v>
      </c>
      <c r="B26" s="4">
        <v>45664.0</v>
      </c>
      <c r="C26" s="1" t="s">
        <v>135</v>
      </c>
      <c r="D26" s="1" t="s">
        <v>128</v>
      </c>
      <c r="E26" s="1" t="s">
        <v>39</v>
      </c>
      <c r="F26" s="1" t="s">
        <v>17</v>
      </c>
      <c r="G26" s="1" t="s">
        <v>82</v>
      </c>
      <c r="H26" s="1">
        <v>5.0</v>
      </c>
      <c r="I26" s="1" t="s">
        <v>136</v>
      </c>
      <c r="J26" s="1" t="s">
        <v>137</v>
      </c>
    </row>
    <row r="27" ht="15.75" customHeight="1">
      <c r="A27" s="1" t="s">
        <v>138</v>
      </c>
      <c r="B27" s="4">
        <v>45665.0</v>
      </c>
      <c r="C27" s="1" t="s">
        <v>46</v>
      </c>
      <c r="D27" s="1" t="s">
        <v>38</v>
      </c>
      <c r="E27" s="1" t="s">
        <v>24</v>
      </c>
      <c r="F27" s="1" t="s">
        <v>17</v>
      </c>
      <c r="G27" s="1" t="s">
        <v>94</v>
      </c>
      <c r="H27" s="1">
        <v>1.0</v>
      </c>
      <c r="I27" s="1" t="s">
        <v>140</v>
      </c>
      <c r="J27" s="1" t="s">
        <v>140</v>
      </c>
    </row>
    <row r="28" ht="15.75" customHeight="1">
      <c r="A28" s="1" t="s">
        <v>141</v>
      </c>
      <c r="B28" s="4">
        <v>45666.0</v>
      </c>
      <c r="C28" s="1" t="s">
        <v>36</v>
      </c>
      <c r="D28" s="1" t="s">
        <v>58</v>
      </c>
      <c r="E28" s="1" t="s">
        <v>142</v>
      </c>
      <c r="F28" s="1" t="s">
        <v>77</v>
      </c>
      <c r="G28" s="1" t="s">
        <v>82</v>
      </c>
      <c r="H28" s="1">
        <v>1.0</v>
      </c>
      <c r="I28" s="1" t="s">
        <v>143</v>
      </c>
      <c r="J28" s="1" t="s">
        <v>144</v>
      </c>
    </row>
    <row r="29" ht="15.75" customHeight="1">
      <c r="A29" s="1" t="s">
        <v>146</v>
      </c>
      <c r="B29" s="4">
        <v>45667.0</v>
      </c>
      <c r="C29" s="1" t="s">
        <v>147</v>
      </c>
      <c r="D29" s="1" t="s">
        <v>15</v>
      </c>
      <c r="E29" s="1" t="s">
        <v>118</v>
      </c>
      <c r="F29" s="1" t="s">
        <v>77</v>
      </c>
      <c r="G29" s="1" t="s">
        <v>82</v>
      </c>
      <c r="H29" s="1">
        <v>50.0</v>
      </c>
      <c r="I29" s="1" t="s">
        <v>148</v>
      </c>
      <c r="J29" s="1" t="s">
        <v>149</v>
      </c>
    </row>
    <row r="30" ht="15.75" customHeight="1">
      <c r="A30" s="1" t="s">
        <v>150</v>
      </c>
      <c r="B30" s="4">
        <v>45667.0</v>
      </c>
      <c r="C30" s="1" t="s">
        <v>36</v>
      </c>
      <c r="D30" s="1" t="s">
        <v>58</v>
      </c>
      <c r="E30" s="1" t="s">
        <v>39</v>
      </c>
      <c r="F30" s="1" t="s">
        <v>17</v>
      </c>
      <c r="G30" s="1" t="s">
        <v>82</v>
      </c>
      <c r="H30" s="1">
        <v>1.0</v>
      </c>
      <c r="I30" s="1" t="s">
        <v>152</v>
      </c>
      <c r="J30" s="1" t="s">
        <v>153</v>
      </c>
    </row>
    <row r="31" ht="15.75" customHeight="1">
      <c r="A31" s="1" t="s">
        <v>154</v>
      </c>
      <c r="B31" s="4">
        <v>45667.0</v>
      </c>
      <c r="C31" s="1" t="s">
        <v>155</v>
      </c>
      <c r="D31" s="1" t="s">
        <v>23</v>
      </c>
      <c r="E31" s="1" t="s">
        <v>16</v>
      </c>
      <c r="F31" s="1" t="s">
        <v>17</v>
      </c>
      <c r="G31" s="1" t="s">
        <v>18</v>
      </c>
      <c r="H31" s="1">
        <v>1.0</v>
      </c>
      <c r="I31" s="1" t="s">
        <v>156</v>
      </c>
      <c r="J31" s="1" t="s">
        <v>156</v>
      </c>
    </row>
    <row r="32" ht="15.75" customHeight="1">
      <c r="A32" s="1" t="s">
        <v>157</v>
      </c>
      <c r="B32" s="4">
        <v>45667.0</v>
      </c>
      <c r="C32" s="1" t="s">
        <v>158</v>
      </c>
      <c r="D32" s="1" t="s">
        <v>23</v>
      </c>
      <c r="E32" s="1" t="s">
        <v>39</v>
      </c>
      <c r="F32" s="1" t="s">
        <v>17</v>
      </c>
      <c r="G32" s="1" t="s">
        <v>18</v>
      </c>
      <c r="H32" s="1">
        <v>1.0</v>
      </c>
      <c r="I32" s="1" t="s">
        <v>159</v>
      </c>
      <c r="J32" s="1" t="s">
        <v>160</v>
      </c>
    </row>
    <row r="33" ht="15.75" customHeight="1">
      <c r="A33" s="1" t="s">
        <v>161</v>
      </c>
      <c r="B33" s="4">
        <v>45667.0</v>
      </c>
      <c r="C33" s="1" t="s">
        <v>14</v>
      </c>
      <c r="D33" s="1" t="s">
        <v>15</v>
      </c>
      <c r="E33" s="1" t="s">
        <v>67</v>
      </c>
      <c r="F33" s="1" t="s">
        <v>31</v>
      </c>
      <c r="G33" s="1" t="s">
        <v>40</v>
      </c>
      <c r="H33" s="1">
        <v>20.0</v>
      </c>
      <c r="I33" s="1" t="s">
        <v>163</v>
      </c>
      <c r="J33" s="1" t="s">
        <v>164</v>
      </c>
    </row>
    <row r="34" ht="15.75" customHeight="1">
      <c r="A34" s="1" t="s">
        <v>165</v>
      </c>
      <c r="B34" s="4">
        <v>45667.0</v>
      </c>
      <c r="C34" s="1" t="s">
        <v>81</v>
      </c>
      <c r="D34" s="1" t="s">
        <v>15</v>
      </c>
      <c r="E34" s="1" t="s">
        <v>48</v>
      </c>
      <c r="F34" s="1" t="s">
        <v>50</v>
      </c>
      <c r="G34" s="1" t="s">
        <v>18</v>
      </c>
      <c r="H34" s="1">
        <v>1.0</v>
      </c>
      <c r="I34" s="1" t="s">
        <v>166</v>
      </c>
      <c r="J34" s="1" t="s">
        <v>166</v>
      </c>
    </row>
    <row r="35" ht="15.75" customHeight="1">
      <c r="A35" s="1" t="s">
        <v>185</v>
      </c>
      <c r="B35" s="4">
        <v>45668.0</v>
      </c>
      <c r="C35" s="1" t="s">
        <v>147</v>
      </c>
      <c r="D35" s="1" t="s">
        <v>23</v>
      </c>
      <c r="E35" s="1" t="s">
        <v>67</v>
      </c>
      <c r="F35" s="1" t="s">
        <v>31</v>
      </c>
      <c r="G35" s="1" t="s">
        <v>40</v>
      </c>
      <c r="H35" s="1">
        <v>2.0</v>
      </c>
      <c r="I35" s="1" t="s">
        <v>186</v>
      </c>
      <c r="J35" s="1" t="s">
        <v>187</v>
      </c>
    </row>
    <row r="36" ht="15.75" customHeight="1">
      <c r="A36" s="1" t="s">
        <v>188</v>
      </c>
      <c r="B36" s="4">
        <v>45668.0</v>
      </c>
      <c r="C36" s="1" t="s">
        <v>189</v>
      </c>
      <c r="D36" s="1" t="s">
        <v>23</v>
      </c>
      <c r="E36" s="1" t="s">
        <v>30</v>
      </c>
      <c r="F36" s="1" t="s">
        <v>31</v>
      </c>
      <c r="G36" s="1" t="s">
        <v>190</v>
      </c>
      <c r="H36" s="1">
        <v>1.0</v>
      </c>
      <c r="I36" s="1" t="s">
        <v>191</v>
      </c>
      <c r="J36" s="1" t="s">
        <v>191</v>
      </c>
    </row>
    <row r="37" ht="15.75" customHeight="1">
      <c r="A37" s="1" t="s">
        <v>192</v>
      </c>
      <c r="B37" s="4">
        <v>45668.0</v>
      </c>
      <c r="C37" s="1" t="s">
        <v>111</v>
      </c>
      <c r="D37" s="1" t="s">
        <v>128</v>
      </c>
      <c r="E37" s="1" t="s">
        <v>175</v>
      </c>
      <c r="F37" s="1" t="s">
        <v>50</v>
      </c>
      <c r="G37" s="1" t="s">
        <v>82</v>
      </c>
      <c r="H37" s="1">
        <v>1.0</v>
      </c>
      <c r="I37" s="1" t="s">
        <v>193</v>
      </c>
      <c r="J37" s="1" t="s">
        <v>193</v>
      </c>
    </row>
    <row r="38" ht="15.75" customHeight="1">
      <c r="A38" s="1" t="s">
        <v>194</v>
      </c>
      <c r="B38" s="4">
        <v>45668.0</v>
      </c>
      <c r="C38" s="1" t="s">
        <v>65</v>
      </c>
      <c r="D38" s="1" t="s">
        <v>128</v>
      </c>
      <c r="E38" s="1" t="s">
        <v>67</v>
      </c>
      <c r="F38" s="1" t="s">
        <v>31</v>
      </c>
      <c r="G38" s="1" t="s">
        <v>40</v>
      </c>
      <c r="H38" s="1">
        <v>1.0</v>
      </c>
      <c r="I38" s="1" t="s">
        <v>195</v>
      </c>
      <c r="J38" s="1" t="s">
        <v>195</v>
      </c>
    </row>
    <row r="39" ht="15.75" customHeight="1">
      <c r="A39" s="1" t="s">
        <v>196</v>
      </c>
      <c r="B39" s="4">
        <v>45669.0</v>
      </c>
      <c r="C39" s="1" t="s">
        <v>93</v>
      </c>
      <c r="D39" s="1" t="s">
        <v>15</v>
      </c>
      <c r="E39" s="1" t="s">
        <v>142</v>
      </c>
      <c r="F39" s="1" t="s">
        <v>77</v>
      </c>
      <c r="G39" s="1" t="s">
        <v>32</v>
      </c>
      <c r="H39" s="1">
        <v>1.0</v>
      </c>
      <c r="I39" s="1" t="s">
        <v>197</v>
      </c>
      <c r="J39" s="1" t="s">
        <v>197</v>
      </c>
    </row>
    <row r="40" ht="15.75" customHeight="1">
      <c r="A40" s="1" t="s">
        <v>198</v>
      </c>
      <c r="B40" s="4">
        <v>45669.0</v>
      </c>
      <c r="C40" s="1" t="s">
        <v>199</v>
      </c>
      <c r="D40" s="1" t="s">
        <v>23</v>
      </c>
      <c r="E40" s="1" t="s">
        <v>30</v>
      </c>
      <c r="F40" s="1" t="s">
        <v>31</v>
      </c>
      <c r="G40" s="1" t="s">
        <v>18</v>
      </c>
      <c r="H40" s="1">
        <v>1.0</v>
      </c>
      <c r="I40" s="1" t="s">
        <v>200</v>
      </c>
      <c r="J40" s="1" t="s">
        <v>200</v>
      </c>
    </row>
    <row r="41" ht="15.75" customHeight="1">
      <c r="A41" s="1" t="s">
        <v>201</v>
      </c>
      <c r="B41" s="4">
        <v>45669.0</v>
      </c>
      <c r="C41" s="1" t="s">
        <v>132</v>
      </c>
      <c r="D41" s="1" t="s">
        <v>23</v>
      </c>
      <c r="E41" s="1" t="s">
        <v>118</v>
      </c>
      <c r="F41" s="1" t="s">
        <v>77</v>
      </c>
      <c r="G41" s="1" t="s">
        <v>18</v>
      </c>
      <c r="H41" s="1">
        <v>2.0</v>
      </c>
      <c r="I41" s="1" t="s">
        <v>202</v>
      </c>
      <c r="J41" s="1" t="s">
        <v>203</v>
      </c>
    </row>
    <row r="42" ht="15.75" customHeight="1">
      <c r="A42" s="1" t="s">
        <v>204</v>
      </c>
      <c r="B42" s="4">
        <v>45669.0</v>
      </c>
      <c r="C42" s="1" t="s">
        <v>205</v>
      </c>
      <c r="D42" s="1" t="s">
        <v>128</v>
      </c>
      <c r="E42" s="1" t="s">
        <v>30</v>
      </c>
      <c r="F42" s="1" t="s">
        <v>31</v>
      </c>
      <c r="G42" s="1" t="s">
        <v>18</v>
      </c>
      <c r="H42" s="1">
        <v>1.0</v>
      </c>
      <c r="I42" s="1" t="s">
        <v>206</v>
      </c>
      <c r="J42" s="1" t="s">
        <v>206</v>
      </c>
    </row>
    <row r="43" ht="15.75" customHeight="1">
      <c r="A43" s="1" t="s">
        <v>207</v>
      </c>
      <c r="B43" s="4">
        <v>45670.0</v>
      </c>
      <c r="C43" s="1" t="s">
        <v>46</v>
      </c>
      <c r="D43" s="1" t="s">
        <v>47</v>
      </c>
      <c r="E43" s="1" t="s">
        <v>30</v>
      </c>
      <c r="F43" s="1" t="s">
        <v>31</v>
      </c>
      <c r="G43" s="1" t="s">
        <v>82</v>
      </c>
      <c r="H43" s="1">
        <v>5.0</v>
      </c>
      <c r="I43" s="1" t="s">
        <v>208</v>
      </c>
      <c r="J43" s="5">
        <v>77919.0</v>
      </c>
    </row>
    <row r="44" ht="15.75" customHeight="1">
      <c r="A44" s="1" t="s">
        <v>209</v>
      </c>
      <c r="B44" s="4">
        <v>45670.0</v>
      </c>
      <c r="C44" s="1" t="s">
        <v>210</v>
      </c>
      <c r="D44" s="1" t="s">
        <v>47</v>
      </c>
      <c r="E44" s="1" t="s">
        <v>67</v>
      </c>
      <c r="F44" s="1" t="s">
        <v>31</v>
      </c>
      <c r="G44" s="1" t="s">
        <v>40</v>
      </c>
      <c r="H44" s="1">
        <v>2.0</v>
      </c>
      <c r="I44" s="1" t="s">
        <v>211</v>
      </c>
      <c r="J44" s="1" t="s">
        <v>212</v>
      </c>
    </row>
    <row r="45" ht="15.75" customHeight="1">
      <c r="A45" s="1" t="s">
        <v>213</v>
      </c>
      <c r="B45" s="4">
        <v>45670.0</v>
      </c>
      <c r="C45" s="1" t="s">
        <v>214</v>
      </c>
      <c r="D45" s="1" t="s">
        <v>23</v>
      </c>
      <c r="E45" s="1" t="s">
        <v>142</v>
      </c>
      <c r="F45" s="1" t="s">
        <v>77</v>
      </c>
      <c r="G45" s="1" t="s">
        <v>18</v>
      </c>
      <c r="H45" s="1">
        <v>5.0</v>
      </c>
      <c r="I45" s="1" t="s">
        <v>215</v>
      </c>
      <c r="J45" s="1" t="s">
        <v>216</v>
      </c>
    </row>
    <row r="46" ht="15.75" customHeight="1">
      <c r="A46" s="1" t="s">
        <v>217</v>
      </c>
      <c r="B46" s="4">
        <v>45671.0</v>
      </c>
      <c r="C46" s="1" t="s">
        <v>189</v>
      </c>
      <c r="D46" s="1" t="s">
        <v>23</v>
      </c>
      <c r="E46" s="1" t="s">
        <v>76</v>
      </c>
      <c r="F46" s="1" t="s">
        <v>77</v>
      </c>
      <c r="G46" s="1" t="s">
        <v>82</v>
      </c>
      <c r="H46" s="1">
        <v>5.0</v>
      </c>
      <c r="I46" s="1" t="s">
        <v>218</v>
      </c>
      <c r="J46" s="1" t="s">
        <v>219</v>
      </c>
    </row>
    <row r="47" ht="15.75" customHeight="1">
      <c r="A47" s="1" t="s">
        <v>220</v>
      </c>
      <c r="B47" s="4">
        <v>45671.0</v>
      </c>
      <c r="C47" s="1" t="s">
        <v>117</v>
      </c>
      <c r="D47" s="1" t="s">
        <v>15</v>
      </c>
      <c r="E47" s="1" t="s">
        <v>16</v>
      </c>
      <c r="F47" s="1" t="s">
        <v>17</v>
      </c>
      <c r="G47" s="1" t="s">
        <v>18</v>
      </c>
      <c r="H47" s="1">
        <v>1.0</v>
      </c>
      <c r="I47" s="1" t="s">
        <v>221</v>
      </c>
      <c r="J47" s="1" t="s">
        <v>221</v>
      </c>
    </row>
    <row r="48" ht="15.75" customHeight="1">
      <c r="A48" s="1" t="s">
        <v>222</v>
      </c>
      <c r="B48" s="4">
        <v>45671.0</v>
      </c>
      <c r="C48" s="1" t="s">
        <v>223</v>
      </c>
      <c r="D48" s="1" t="s">
        <v>47</v>
      </c>
      <c r="E48" s="1" t="s">
        <v>67</v>
      </c>
      <c r="F48" s="1" t="s">
        <v>31</v>
      </c>
      <c r="G48" s="1" t="s">
        <v>40</v>
      </c>
      <c r="H48" s="1">
        <v>1.0</v>
      </c>
      <c r="I48" s="1" t="s">
        <v>224</v>
      </c>
      <c r="J48" s="1" t="s">
        <v>225</v>
      </c>
    </row>
    <row r="49" ht="15.75" customHeight="1">
      <c r="A49" s="1" t="s">
        <v>226</v>
      </c>
      <c r="B49" s="4">
        <v>45671.0</v>
      </c>
      <c r="C49" s="1" t="s">
        <v>227</v>
      </c>
      <c r="D49" s="1" t="s">
        <v>23</v>
      </c>
      <c r="E49" s="1" t="s">
        <v>142</v>
      </c>
      <c r="F49" s="1" t="s">
        <v>77</v>
      </c>
      <c r="G49" s="1" t="s">
        <v>18</v>
      </c>
      <c r="H49" s="1">
        <v>2.0</v>
      </c>
      <c r="I49" s="1" t="s">
        <v>228</v>
      </c>
      <c r="J49" s="1" t="s">
        <v>229</v>
      </c>
    </row>
    <row r="50" ht="15.75" customHeight="1">
      <c r="A50" s="1" t="s">
        <v>230</v>
      </c>
      <c r="B50" s="4">
        <v>45672.0</v>
      </c>
      <c r="C50" s="1" t="s">
        <v>155</v>
      </c>
      <c r="D50" s="1" t="s">
        <v>47</v>
      </c>
      <c r="E50" s="1" t="s">
        <v>173</v>
      </c>
      <c r="F50" s="1" t="s">
        <v>31</v>
      </c>
      <c r="G50" s="1" t="s">
        <v>231</v>
      </c>
      <c r="H50" s="1">
        <v>1.0</v>
      </c>
      <c r="I50" s="1" t="s">
        <v>232</v>
      </c>
      <c r="J50" s="1" t="s">
        <v>232</v>
      </c>
    </row>
    <row r="51" ht="15.75" customHeight="1">
      <c r="A51" s="1" t="s">
        <v>233</v>
      </c>
      <c r="B51" s="4">
        <v>45672.0</v>
      </c>
      <c r="C51" s="1" t="s">
        <v>234</v>
      </c>
      <c r="D51" s="1" t="s">
        <v>23</v>
      </c>
      <c r="E51" s="1" t="s">
        <v>235</v>
      </c>
      <c r="F51" s="1" t="s">
        <v>236</v>
      </c>
      <c r="G51" s="1" t="s">
        <v>234</v>
      </c>
      <c r="H51" s="1">
        <v>1.0</v>
      </c>
      <c r="I51" s="1" t="s">
        <v>237</v>
      </c>
      <c r="J51" s="1" t="s">
        <v>238</v>
      </c>
    </row>
    <row r="52" ht="15.75" customHeight="1">
      <c r="A52" s="1" t="s">
        <v>239</v>
      </c>
      <c r="B52" s="4">
        <v>45674.0</v>
      </c>
      <c r="C52" s="1" t="s">
        <v>240</v>
      </c>
      <c r="D52" s="1" t="s">
        <v>47</v>
      </c>
      <c r="E52" s="1" t="s">
        <v>48</v>
      </c>
      <c r="F52" s="1" t="s">
        <v>50</v>
      </c>
      <c r="G52" s="1" t="s">
        <v>18</v>
      </c>
      <c r="H52" s="1">
        <v>1.0</v>
      </c>
      <c r="I52" s="1" t="s">
        <v>241</v>
      </c>
      <c r="J52" s="1" t="s">
        <v>241</v>
      </c>
    </row>
    <row r="53" ht="15.75" customHeight="1">
      <c r="A53" s="1" t="s">
        <v>242</v>
      </c>
      <c r="B53" s="4">
        <v>45674.0</v>
      </c>
      <c r="C53" s="1" t="s">
        <v>36</v>
      </c>
      <c r="D53" s="1" t="s">
        <v>47</v>
      </c>
      <c r="E53" s="1" t="s">
        <v>173</v>
      </c>
      <c r="F53" s="1" t="s">
        <v>31</v>
      </c>
      <c r="G53" s="1" t="s">
        <v>82</v>
      </c>
      <c r="H53" s="1">
        <v>1.0</v>
      </c>
      <c r="I53" s="1" t="s">
        <v>243</v>
      </c>
      <c r="J53" s="1" t="s">
        <v>244</v>
      </c>
    </row>
    <row r="54" ht="15.75" customHeight="1">
      <c r="A54" s="1" t="s">
        <v>245</v>
      </c>
      <c r="B54" s="4">
        <v>45674.0</v>
      </c>
      <c r="C54" s="1" t="s">
        <v>246</v>
      </c>
      <c r="D54" s="1" t="s">
        <v>58</v>
      </c>
      <c r="E54" s="1" t="s">
        <v>30</v>
      </c>
      <c r="F54" s="1" t="s">
        <v>31</v>
      </c>
      <c r="G54" s="1" t="s">
        <v>32</v>
      </c>
      <c r="H54" s="1">
        <v>20.0</v>
      </c>
      <c r="I54" s="1" t="s">
        <v>247</v>
      </c>
      <c r="J54" s="1" t="s">
        <v>248</v>
      </c>
    </row>
    <row r="55" ht="15.75" customHeight="1">
      <c r="A55" s="1" t="s">
        <v>249</v>
      </c>
      <c r="B55" s="4">
        <v>45674.0</v>
      </c>
      <c r="C55" s="1" t="s">
        <v>135</v>
      </c>
      <c r="D55" s="1" t="s">
        <v>23</v>
      </c>
      <c r="E55" s="1" t="s">
        <v>173</v>
      </c>
      <c r="F55" s="1" t="s">
        <v>31</v>
      </c>
      <c r="G55" s="1" t="s">
        <v>18</v>
      </c>
      <c r="H55" s="1">
        <v>50.0</v>
      </c>
      <c r="I55" s="1" t="s">
        <v>250</v>
      </c>
      <c r="J55" s="1" t="s">
        <v>251</v>
      </c>
    </row>
    <row r="56" ht="15.75" customHeight="1">
      <c r="A56" s="1" t="s">
        <v>252</v>
      </c>
      <c r="B56" s="4">
        <v>45674.0</v>
      </c>
      <c r="C56" s="1" t="s">
        <v>227</v>
      </c>
      <c r="D56" s="1" t="s">
        <v>128</v>
      </c>
      <c r="E56" s="1" t="s">
        <v>67</v>
      </c>
      <c r="F56" s="1" t="s">
        <v>31</v>
      </c>
      <c r="G56" s="1" t="s">
        <v>253</v>
      </c>
      <c r="H56" s="1">
        <v>10.0</v>
      </c>
      <c r="I56" s="1" t="s">
        <v>254</v>
      </c>
      <c r="J56" s="1" t="s">
        <v>255</v>
      </c>
    </row>
    <row r="57" ht="15.75" customHeight="1">
      <c r="A57" s="1" t="s">
        <v>256</v>
      </c>
      <c r="B57" s="4">
        <v>45675.0</v>
      </c>
      <c r="C57" s="1" t="s">
        <v>214</v>
      </c>
      <c r="D57" s="1" t="s">
        <v>47</v>
      </c>
      <c r="E57" s="1" t="s">
        <v>39</v>
      </c>
      <c r="F57" s="1" t="s">
        <v>17</v>
      </c>
      <c r="G57" s="1" t="s">
        <v>82</v>
      </c>
      <c r="H57" s="1">
        <v>1.0</v>
      </c>
      <c r="I57" s="1" t="s">
        <v>257</v>
      </c>
      <c r="J57" s="1" t="s">
        <v>257</v>
      </c>
    </row>
    <row r="58" ht="15.75" customHeight="1">
      <c r="A58" s="1" t="s">
        <v>258</v>
      </c>
      <c r="B58" s="4">
        <v>45675.0</v>
      </c>
      <c r="C58" s="1" t="s">
        <v>43</v>
      </c>
      <c r="D58" s="1" t="s">
        <v>47</v>
      </c>
      <c r="E58" s="1" t="s">
        <v>173</v>
      </c>
      <c r="F58" s="1" t="s">
        <v>31</v>
      </c>
      <c r="G58" s="1" t="s">
        <v>18</v>
      </c>
      <c r="H58" s="1">
        <v>1.0</v>
      </c>
      <c r="I58" s="1" t="s">
        <v>259</v>
      </c>
      <c r="J58" s="1" t="s">
        <v>259</v>
      </c>
    </row>
    <row r="59" ht="15.75" customHeight="1">
      <c r="A59" s="1" t="s">
        <v>260</v>
      </c>
      <c r="B59" s="4">
        <v>45675.0</v>
      </c>
      <c r="C59" s="1" t="s">
        <v>147</v>
      </c>
      <c r="D59" s="1" t="s">
        <v>23</v>
      </c>
      <c r="E59" s="1" t="s">
        <v>48</v>
      </c>
      <c r="F59" s="1" t="s">
        <v>50</v>
      </c>
      <c r="G59" s="1" t="s">
        <v>18</v>
      </c>
      <c r="H59" s="1">
        <v>1.0</v>
      </c>
      <c r="I59" s="1" t="s">
        <v>261</v>
      </c>
      <c r="J59" s="1" t="s">
        <v>262</v>
      </c>
    </row>
    <row r="60" ht="15.75" customHeight="1">
      <c r="A60" s="1" t="s">
        <v>263</v>
      </c>
      <c r="B60" s="4">
        <v>45676.0</v>
      </c>
      <c r="C60" s="1" t="s">
        <v>246</v>
      </c>
      <c r="D60" s="1" t="s">
        <v>15</v>
      </c>
      <c r="E60" s="1" t="s">
        <v>107</v>
      </c>
      <c r="F60" s="1" t="s">
        <v>50</v>
      </c>
      <c r="G60" s="1" t="s">
        <v>18</v>
      </c>
      <c r="H60" s="1">
        <v>10.0</v>
      </c>
      <c r="I60" s="1" t="s">
        <v>264</v>
      </c>
      <c r="J60" s="1" t="s">
        <v>265</v>
      </c>
    </row>
    <row r="61" ht="15.75" customHeight="1">
      <c r="A61" s="1" t="s">
        <v>266</v>
      </c>
      <c r="B61" s="4">
        <v>45677.0</v>
      </c>
      <c r="C61" s="1" t="s">
        <v>74</v>
      </c>
      <c r="D61" s="1" t="s">
        <v>128</v>
      </c>
      <c r="E61" s="1" t="s">
        <v>142</v>
      </c>
      <c r="F61" s="1" t="s">
        <v>77</v>
      </c>
      <c r="G61" s="1" t="s">
        <v>32</v>
      </c>
      <c r="H61" s="1">
        <v>5.0</v>
      </c>
      <c r="I61" s="1" t="s">
        <v>267</v>
      </c>
      <c r="J61" s="1" t="s">
        <v>268</v>
      </c>
    </row>
    <row r="62" ht="15.75" customHeight="1">
      <c r="A62" s="1" t="s">
        <v>269</v>
      </c>
      <c r="B62" s="4">
        <v>45677.0</v>
      </c>
      <c r="C62" s="1" t="s">
        <v>117</v>
      </c>
      <c r="D62" s="1" t="s">
        <v>15</v>
      </c>
      <c r="E62" s="1" t="s">
        <v>175</v>
      </c>
      <c r="F62" s="1" t="s">
        <v>50</v>
      </c>
      <c r="G62" s="1" t="s">
        <v>32</v>
      </c>
      <c r="H62" s="1">
        <v>20.0</v>
      </c>
      <c r="I62" s="1" t="s">
        <v>270</v>
      </c>
      <c r="J62" s="1" t="s">
        <v>271</v>
      </c>
    </row>
    <row r="63" ht="15.75" customHeight="1">
      <c r="A63" s="1" t="s">
        <v>272</v>
      </c>
      <c r="B63" s="4">
        <v>45677.0</v>
      </c>
      <c r="C63" s="1" t="s">
        <v>273</v>
      </c>
      <c r="D63" s="1" t="s">
        <v>15</v>
      </c>
      <c r="E63" s="1" t="s">
        <v>67</v>
      </c>
      <c r="F63" s="1" t="s">
        <v>31</v>
      </c>
      <c r="G63" s="1" t="s">
        <v>32</v>
      </c>
      <c r="H63" s="1">
        <v>5.0</v>
      </c>
      <c r="I63" s="1" t="s">
        <v>274</v>
      </c>
      <c r="J63" s="1" t="s">
        <v>275</v>
      </c>
    </row>
    <row r="64" ht="15.75" customHeight="1">
      <c r="A64" s="1" t="s">
        <v>276</v>
      </c>
      <c r="B64" s="4">
        <v>45677.0</v>
      </c>
      <c r="C64" s="1" t="s">
        <v>158</v>
      </c>
      <c r="D64" s="1" t="s">
        <v>47</v>
      </c>
      <c r="E64" s="1" t="s">
        <v>30</v>
      </c>
      <c r="F64" s="1" t="s">
        <v>31</v>
      </c>
      <c r="G64" s="1" t="s">
        <v>190</v>
      </c>
      <c r="H64" s="1">
        <v>5.0</v>
      </c>
      <c r="I64" s="1" t="s">
        <v>277</v>
      </c>
      <c r="J64" s="1" t="s">
        <v>278</v>
      </c>
    </row>
    <row r="65" ht="15.75" customHeight="1">
      <c r="A65" s="1" t="s">
        <v>279</v>
      </c>
      <c r="B65" s="4">
        <v>45677.0</v>
      </c>
      <c r="C65" s="1" t="s">
        <v>103</v>
      </c>
      <c r="D65" s="1" t="s">
        <v>15</v>
      </c>
      <c r="E65" s="1" t="s">
        <v>24</v>
      </c>
      <c r="F65" s="1" t="s">
        <v>17</v>
      </c>
      <c r="G65" s="1" t="s">
        <v>32</v>
      </c>
      <c r="H65" s="1">
        <v>20.0</v>
      </c>
      <c r="I65" s="1" t="s">
        <v>280</v>
      </c>
      <c r="J65" s="1" t="s">
        <v>281</v>
      </c>
    </row>
    <row r="66" ht="15.75" customHeight="1">
      <c r="A66" s="1" t="s">
        <v>282</v>
      </c>
      <c r="B66" s="4">
        <v>45678.0</v>
      </c>
      <c r="C66" s="1" t="s">
        <v>89</v>
      </c>
      <c r="D66" s="1" t="s">
        <v>38</v>
      </c>
      <c r="E66" s="1" t="s">
        <v>16</v>
      </c>
      <c r="F66" s="1" t="s">
        <v>17</v>
      </c>
      <c r="G66" s="1" t="s">
        <v>32</v>
      </c>
      <c r="H66" s="1">
        <v>1.0</v>
      </c>
      <c r="I66" s="1" t="s">
        <v>283</v>
      </c>
      <c r="J66" s="1" t="s">
        <v>283</v>
      </c>
    </row>
    <row r="67" ht="15.75" customHeight="1">
      <c r="A67" s="1" t="s">
        <v>284</v>
      </c>
      <c r="B67" s="4">
        <v>45678.0</v>
      </c>
      <c r="C67" s="1" t="s">
        <v>285</v>
      </c>
      <c r="D67" s="1" t="s">
        <v>23</v>
      </c>
      <c r="E67" s="1" t="s">
        <v>142</v>
      </c>
      <c r="F67" s="1" t="s">
        <v>77</v>
      </c>
      <c r="G67" s="1" t="s">
        <v>82</v>
      </c>
      <c r="H67" s="1">
        <v>2.0</v>
      </c>
      <c r="I67" s="1" t="s">
        <v>286</v>
      </c>
      <c r="J67" s="1" t="s">
        <v>287</v>
      </c>
    </row>
    <row r="68" ht="15.75" customHeight="1">
      <c r="A68" s="1" t="s">
        <v>288</v>
      </c>
      <c r="B68" s="4">
        <v>45678.0</v>
      </c>
      <c r="C68" s="1" t="s">
        <v>22</v>
      </c>
      <c r="D68" s="1" t="s">
        <v>15</v>
      </c>
      <c r="E68" s="1" t="s">
        <v>142</v>
      </c>
      <c r="F68" s="1" t="s">
        <v>77</v>
      </c>
      <c r="G68" s="1" t="s">
        <v>18</v>
      </c>
      <c r="H68" s="1">
        <v>1.0</v>
      </c>
      <c r="I68" s="1" t="s">
        <v>289</v>
      </c>
      <c r="J68" s="1" t="s">
        <v>289</v>
      </c>
    </row>
    <row r="69" ht="15.75" customHeight="1">
      <c r="A69" s="1" t="s">
        <v>290</v>
      </c>
      <c r="B69" s="4">
        <v>45678.0</v>
      </c>
      <c r="C69" s="1" t="s">
        <v>199</v>
      </c>
      <c r="D69" s="1" t="s">
        <v>128</v>
      </c>
      <c r="E69" s="1" t="s">
        <v>30</v>
      </c>
      <c r="F69" s="1" t="s">
        <v>31</v>
      </c>
      <c r="G69" s="1" t="s">
        <v>82</v>
      </c>
      <c r="H69" s="1">
        <v>5.0</v>
      </c>
      <c r="I69" s="1" t="s">
        <v>291</v>
      </c>
      <c r="J69" s="1" t="s">
        <v>292</v>
      </c>
    </row>
    <row r="70" ht="15.75" customHeight="1">
      <c r="A70" s="1" t="s">
        <v>293</v>
      </c>
      <c r="B70" s="4">
        <v>45679.0</v>
      </c>
      <c r="C70" s="1" t="s">
        <v>81</v>
      </c>
      <c r="D70" s="1" t="s">
        <v>15</v>
      </c>
      <c r="E70" s="1" t="s">
        <v>118</v>
      </c>
      <c r="F70" s="1" t="s">
        <v>77</v>
      </c>
      <c r="G70" s="1" t="s">
        <v>40</v>
      </c>
      <c r="H70" s="1">
        <v>20.0</v>
      </c>
      <c r="I70" s="1" t="s">
        <v>294</v>
      </c>
      <c r="J70" s="1" t="s">
        <v>295</v>
      </c>
    </row>
    <row r="71" ht="15.75" customHeight="1">
      <c r="A71" s="1" t="s">
        <v>296</v>
      </c>
      <c r="B71" s="4">
        <v>45679.0</v>
      </c>
      <c r="C71" s="1" t="s">
        <v>205</v>
      </c>
      <c r="D71" s="1" t="s">
        <v>23</v>
      </c>
      <c r="E71" s="1" t="s">
        <v>67</v>
      </c>
      <c r="F71" s="1" t="s">
        <v>31</v>
      </c>
      <c r="G71" s="1" t="s">
        <v>82</v>
      </c>
      <c r="H71" s="1">
        <v>1.0</v>
      </c>
      <c r="I71" s="1" t="s">
        <v>297</v>
      </c>
      <c r="J71" s="1" t="s">
        <v>297</v>
      </c>
    </row>
    <row r="72" ht="15.75" customHeight="1">
      <c r="A72" s="1" t="s">
        <v>298</v>
      </c>
      <c r="B72" s="4">
        <v>45679.0</v>
      </c>
      <c r="C72" s="1" t="s">
        <v>132</v>
      </c>
      <c r="D72" s="1" t="s">
        <v>23</v>
      </c>
      <c r="E72" s="1" t="s">
        <v>39</v>
      </c>
      <c r="F72" s="1" t="s">
        <v>17</v>
      </c>
      <c r="G72" s="1" t="s">
        <v>32</v>
      </c>
      <c r="H72" s="1">
        <v>1.0</v>
      </c>
      <c r="I72" s="1" t="s">
        <v>299</v>
      </c>
      <c r="J72" s="1" t="s">
        <v>299</v>
      </c>
    </row>
    <row r="73" ht="15.75" customHeight="1">
      <c r="A73" s="1" t="s">
        <v>300</v>
      </c>
      <c r="B73" s="4">
        <v>45679.0</v>
      </c>
      <c r="C73" s="1" t="s">
        <v>246</v>
      </c>
      <c r="D73" s="1" t="s">
        <v>128</v>
      </c>
      <c r="E73" s="1" t="s">
        <v>48</v>
      </c>
      <c r="F73" s="1" t="s">
        <v>50</v>
      </c>
      <c r="G73" s="1" t="s">
        <v>18</v>
      </c>
      <c r="H73" s="1">
        <v>20.0</v>
      </c>
      <c r="I73" s="1" t="s">
        <v>302</v>
      </c>
      <c r="J73" s="1" t="s">
        <v>303</v>
      </c>
    </row>
    <row r="74" ht="15.75" customHeight="1">
      <c r="A74" s="1" t="s">
        <v>304</v>
      </c>
      <c r="B74" s="4">
        <v>45680.0</v>
      </c>
      <c r="C74" s="1" t="s">
        <v>97</v>
      </c>
      <c r="D74" s="1" t="s">
        <v>15</v>
      </c>
      <c r="E74" s="1" t="s">
        <v>16</v>
      </c>
      <c r="F74" s="1" t="s">
        <v>17</v>
      </c>
      <c r="G74" s="1" t="s">
        <v>32</v>
      </c>
      <c r="H74" s="1">
        <v>1.0</v>
      </c>
      <c r="I74" s="1" t="s">
        <v>305</v>
      </c>
      <c r="J74" s="1" t="s">
        <v>305</v>
      </c>
    </row>
    <row r="75" ht="15.75" customHeight="1">
      <c r="A75" s="1" t="s">
        <v>307</v>
      </c>
      <c r="B75" s="4">
        <v>45680.0</v>
      </c>
      <c r="C75" s="1" t="s">
        <v>117</v>
      </c>
      <c r="D75" s="1" t="s">
        <v>128</v>
      </c>
      <c r="E75" s="1" t="s">
        <v>173</v>
      </c>
      <c r="F75" s="1" t="s">
        <v>31</v>
      </c>
      <c r="G75" s="1" t="s">
        <v>253</v>
      </c>
      <c r="H75" s="1">
        <v>1.0</v>
      </c>
      <c r="I75" s="1" t="s">
        <v>308</v>
      </c>
      <c r="J75" s="1" t="s">
        <v>308</v>
      </c>
    </row>
    <row r="76" ht="15.75" customHeight="1">
      <c r="A76" s="1" t="s">
        <v>309</v>
      </c>
      <c r="B76" s="4">
        <v>45680.0</v>
      </c>
      <c r="C76" s="1" t="s">
        <v>43</v>
      </c>
      <c r="D76" s="1" t="s">
        <v>23</v>
      </c>
      <c r="E76" s="1" t="s">
        <v>142</v>
      </c>
      <c r="F76" s="1" t="s">
        <v>77</v>
      </c>
      <c r="G76" s="1" t="s">
        <v>82</v>
      </c>
      <c r="H76" s="1">
        <v>1.0</v>
      </c>
      <c r="I76" s="1" t="s">
        <v>310</v>
      </c>
      <c r="J76" s="1" t="s">
        <v>310</v>
      </c>
    </row>
    <row r="77" ht="15.75" customHeight="1">
      <c r="A77" s="1" t="s">
        <v>312</v>
      </c>
      <c r="B77" s="4">
        <v>45681.0</v>
      </c>
      <c r="C77" s="1" t="s">
        <v>273</v>
      </c>
      <c r="D77" s="1" t="s">
        <v>47</v>
      </c>
      <c r="E77" s="1" t="s">
        <v>30</v>
      </c>
      <c r="F77" s="1" t="s">
        <v>31</v>
      </c>
      <c r="G77" s="1" t="s">
        <v>32</v>
      </c>
      <c r="H77" s="1">
        <v>2.0</v>
      </c>
      <c r="I77" s="1" t="s">
        <v>313</v>
      </c>
      <c r="J77" s="1" t="s">
        <v>314</v>
      </c>
    </row>
    <row r="78" ht="15.75" customHeight="1">
      <c r="A78" s="1" t="s">
        <v>315</v>
      </c>
      <c r="B78" s="4">
        <v>45681.0</v>
      </c>
      <c r="C78" s="1" t="s">
        <v>29</v>
      </c>
      <c r="D78" s="1" t="s">
        <v>38</v>
      </c>
      <c r="E78" s="1" t="s">
        <v>173</v>
      </c>
      <c r="F78" s="1" t="s">
        <v>31</v>
      </c>
      <c r="G78" s="1" t="s">
        <v>40</v>
      </c>
      <c r="H78" s="1">
        <v>1.0</v>
      </c>
      <c r="I78" s="1" t="s">
        <v>317</v>
      </c>
      <c r="J78" s="1" t="s">
        <v>317</v>
      </c>
    </row>
    <row r="79" ht="15.75" customHeight="1">
      <c r="A79" s="1" t="s">
        <v>318</v>
      </c>
      <c r="B79" s="4">
        <v>45681.0</v>
      </c>
      <c r="C79" s="1" t="s">
        <v>132</v>
      </c>
      <c r="D79" s="1" t="s">
        <v>15</v>
      </c>
      <c r="E79" s="1" t="s">
        <v>175</v>
      </c>
      <c r="F79" s="1" t="s">
        <v>50</v>
      </c>
      <c r="G79" s="1" t="s">
        <v>82</v>
      </c>
      <c r="H79" s="1">
        <v>2.0</v>
      </c>
      <c r="I79" s="1" t="s">
        <v>319</v>
      </c>
      <c r="J79" s="1" t="s">
        <v>320</v>
      </c>
    </row>
    <row r="80" ht="15.75" customHeight="1">
      <c r="A80" s="1" t="s">
        <v>321</v>
      </c>
      <c r="B80" s="4">
        <v>45682.0</v>
      </c>
      <c r="C80" s="1" t="s">
        <v>117</v>
      </c>
      <c r="D80" s="1" t="s">
        <v>15</v>
      </c>
      <c r="E80" s="1" t="s">
        <v>118</v>
      </c>
      <c r="F80" s="1" t="s">
        <v>77</v>
      </c>
      <c r="G80" s="1" t="s">
        <v>18</v>
      </c>
      <c r="H80" s="1">
        <v>10.0</v>
      </c>
      <c r="I80" s="1" t="s">
        <v>322</v>
      </c>
      <c r="J80" s="1" t="s">
        <v>323</v>
      </c>
    </row>
    <row r="81" ht="15.75" customHeight="1">
      <c r="A81" s="1" t="s">
        <v>324</v>
      </c>
      <c r="B81" s="4">
        <v>45683.0</v>
      </c>
      <c r="C81" s="1" t="s">
        <v>36</v>
      </c>
      <c r="D81" s="1" t="s">
        <v>23</v>
      </c>
      <c r="E81" s="1" t="s">
        <v>67</v>
      </c>
      <c r="F81" s="1" t="s">
        <v>31</v>
      </c>
      <c r="G81" s="1" t="s">
        <v>94</v>
      </c>
      <c r="H81" s="1">
        <v>1.0</v>
      </c>
      <c r="I81" s="1" t="s">
        <v>325</v>
      </c>
      <c r="J81" s="1" t="s">
        <v>325</v>
      </c>
    </row>
    <row r="82" ht="15.75" customHeight="1">
      <c r="A82" s="1" t="s">
        <v>326</v>
      </c>
      <c r="B82" s="4">
        <v>45683.0</v>
      </c>
      <c r="C82" s="1" t="s">
        <v>36</v>
      </c>
      <c r="D82" s="1" t="s">
        <v>38</v>
      </c>
      <c r="E82" s="1" t="s">
        <v>173</v>
      </c>
      <c r="F82" s="1" t="s">
        <v>31</v>
      </c>
      <c r="G82" s="1" t="s">
        <v>82</v>
      </c>
      <c r="H82" s="1">
        <v>1.0</v>
      </c>
      <c r="I82" s="1" t="s">
        <v>327</v>
      </c>
      <c r="J82" s="1" t="s">
        <v>328</v>
      </c>
    </row>
    <row r="83" ht="15.75" customHeight="1">
      <c r="A83" s="1" t="s">
        <v>329</v>
      </c>
      <c r="B83" s="4">
        <v>45683.0</v>
      </c>
      <c r="C83" s="1" t="s">
        <v>330</v>
      </c>
      <c r="D83" s="1" t="s">
        <v>47</v>
      </c>
      <c r="E83" s="1" t="s">
        <v>30</v>
      </c>
      <c r="F83" s="1" t="s">
        <v>31</v>
      </c>
      <c r="G83" s="1" t="s">
        <v>82</v>
      </c>
      <c r="H83" s="1">
        <v>1.0</v>
      </c>
      <c r="I83" s="1" t="s">
        <v>331</v>
      </c>
      <c r="J83" s="1" t="s">
        <v>331</v>
      </c>
    </row>
    <row r="84" ht="15.75" customHeight="1">
      <c r="A84" s="1" t="s">
        <v>332</v>
      </c>
      <c r="B84" s="4">
        <v>45683.0</v>
      </c>
      <c r="C84" s="1" t="s">
        <v>273</v>
      </c>
      <c r="D84" s="1" t="s">
        <v>333</v>
      </c>
      <c r="E84" s="1" t="s">
        <v>39</v>
      </c>
      <c r="F84" s="1" t="s">
        <v>17</v>
      </c>
      <c r="G84" s="1" t="s">
        <v>82</v>
      </c>
      <c r="H84" s="1">
        <v>1.0</v>
      </c>
      <c r="I84" s="1" t="s">
        <v>334</v>
      </c>
      <c r="J84" s="1" t="s">
        <v>334</v>
      </c>
    </row>
    <row r="85" ht="15.75" customHeight="1">
      <c r="A85" s="1" t="s">
        <v>335</v>
      </c>
      <c r="B85" s="4">
        <v>45683.0</v>
      </c>
      <c r="C85" s="1" t="s">
        <v>336</v>
      </c>
      <c r="D85" s="1" t="s">
        <v>23</v>
      </c>
      <c r="E85" s="1" t="s">
        <v>142</v>
      </c>
      <c r="F85" s="1" t="s">
        <v>77</v>
      </c>
      <c r="G85" s="1" t="s">
        <v>253</v>
      </c>
      <c r="H85" s="1">
        <v>5.0</v>
      </c>
      <c r="I85" s="1" t="s">
        <v>337</v>
      </c>
      <c r="J85" s="1" t="s">
        <v>338</v>
      </c>
    </row>
    <row r="86" ht="15.75" customHeight="1">
      <c r="A86" s="1" t="s">
        <v>339</v>
      </c>
      <c r="B86" s="4">
        <v>45683.0</v>
      </c>
      <c r="C86" s="1" t="s">
        <v>147</v>
      </c>
      <c r="D86" s="1" t="s">
        <v>47</v>
      </c>
      <c r="E86" s="1" t="s">
        <v>67</v>
      </c>
      <c r="F86" s="1" t="s">
        <v>31</v>
      </c>
      <c r="G86" s="1" t="s">
        <v>40</v>
      </c>
      <c r="H86" s="1">
        <v>1.0</v>
      </c>
      <c r="I86" s="1" t="s">
        <v>340</v>
      </c>
      <c r="J86" s="1" t="s">
        <v>340</v>
      </c>
    </row>
    <row r="87" ht="15.75" customHeight="1">
      <c r="A87" s="1" t="s">
        <v>341</v>
      </c>
      <c r="B87" s="4">
        <v>45683.0</v>
      </c>
      <c r="C87" s="1" t="s">
        <v>214</v>
      </c>
      <c r="D87" s="1" t="s">
        <v>23</v>
      </c>
      <c r="E87" s="1" t="s">
        <v>175</v>
      </c>
      <c r="F87" s="1" t="s">
        <v>50</v>
      </c>
      <c r="G87" s="1" t="s">
        <v>231</v>
      </c>
      <c r="H87" s="1">
        <v>2.0</v>
      </c>
      <c r="I87" s="1" t="s">
        <v>342</v>
      </c>
      <c r="J87" s="1" t="s">
        <v>343</v>
      </c>
    </row>
    <row r="88" ht="15.75" customHeight="1">
      <c r="A88" s="1" t="s">
        <v>344</v>
      </c>
      <c r="B88" s="4">
        <v>45683.0</v>
      </c>
      <c r="C88" s="1" t="s">
        <v>345</v>
      </c>
      <c r="D88" s="1" t="s">
        <v>23</v>
      </c>
      <c r="E88" s="1" t="s">
        <v>76</v>
      </c>
      <c r="F88" s="1" t="s">
        <v>77</v>
      </c>
      <c r="G88" s="1" t="s">
        <v>82</v>
      </c>
      <c r="H88" s="1">
        <v>1.0</v>
      </c>
      <c r="I88" s="1" t="s">
        <v>346</v>
      </c>
      <c r="J88" s="1" t="s">
        <v>346</v>
      </c>
    </row>
    <row r="89" ht="15.75" customHeight="1">
      <c r="A89" s="1" t="s">
        <v>347</v>
      </c>
      <c r="B89" s="4">
        <v>45684.0</v>
      </c>
      <c r="C89" s="1" t="s">
        <v>348</v>
      </c>
      <c r="D89" s="1" t="s">
        <v>47</v>
      </c>
      <c r="E89" s="1" t="s">
        <v>39</v>
      </c>
      <c r="F89" s="1" t="s">
        <v>17</v>
      </c>
      <c r="G89" s="1" t="s">
        <v>82</v>
      </c>
      <c r="H89" s="1">
        <v>20.0</v>
      </c>
      <c r="I89" s="1" t="s">
        <v>349</v>
      </c>
      <c r="J89" s="5">
        <v>2864081.0</v>
      </c>
    </row>
    <row r="90" ht="15.75" customHeight="1">
      <c r="A90" s="1" t="s">
        <v>350</v>
      </c>
      <c r="B90" s="4">
        <v>45685.0</v>
      </c>
      <c r="C90" s="1" t="s">
        <v>351</v>
      </c>
      <c r="D90" s="1" t="s">
        <v>58</v>
      </c>
      <c r="E90" s="1" t="s">
        <v>76</v>
      </c>
      <c r="F90" s="1" t="s">
        <v>77</v>
      </c>
      <c r="G90" s="1" t="s">
        <v>40</v>
      </c>
      <c r="H90" s="1">
        <v>10.0</v>
      </c>
      <c r="I90" s="1" t="s">
        <v>352</v>
      </c>
      <c r="J90" s="1" t="s">
        <v>353</v>
      </c>
    </row>
    <row r="91" ht="15.75" customHeight="1">
      <c r="A91" s="1" t="s">
        <v>354</v>
      </c>
      <c r="B91" s="4">
        <v>45685.0</v>
      </c>
      <c r="C91" s="1" t="s">
        <v>36</v>
      </c>
      <c r="D91" s="1" t="s">
        <v>58</v>
      </c>
      <c r="E91" s="1" t="s">
        <v>16</v>
      </c>
      <c r="F91" s="1" t="s">
        <v>17</v>
      </c>
      <c r="G91" s="1" t="s">
        <v>82</v>
      </c>
      <c r="H91" s="1">
        <v>50.0</v>
      </c>
      <c r="I91" s="1" t="s">
        <v>355</v>
      </c>
      <c r="J91" s="1" t="s">
        <v>356</v>
      </c>
    </row>
    <row r="92" ht="15.75" customHeight="1">
      <c r="A92" s="1" t="s">
        <v>357</v>
      </c>
      <c r="B92" s="4">
        <v>45685.0</v>
      </c>
      <c r="C92" s="1" t="s">
        <v>65</v>
      </c>
      <c r="D92" s="1" t="s">
        <v>47</v>
      </c>
      <c r="E92" s="1" t="s">
        <v>67</v>
      </c>
      <c r="F92" s="1" t="s">
        <v>31</v>
      </c>
      <c r="G92" s="1" t="s">
        <v>18</v>
      </c>
      <c r="H92" s="1">
        <v>1.0</v>
      </c>
      <c r="I92" s="1" t="s">
        <v>358</v>
      </c>
      <c r="J92" s="1" t="s">
        <v>358</v>
      </c>
    </row>
    <row r="93" ht="15.75" customHeight="1">
      <c r="A93" s="1" t="s">
        <v>360</v>
      </c>
      <c r="B93" s="4">
        <v>45686.0</v>
      </c>
      <c r="C93" s="1" t="s">
        <v>214</v>
      </c>
      <c r="D93" s="1" t="s">
        <v>15</v>
      </c>
      <c r="E93" s="1" t="s">
        <v>76</v>
      </c>
      <c r="F93" s="1" t="s">
        <v>77</v>
      </c>
      <c r="G93" s="1" t="s">
        <v>18</v>
      </c>
      <c r="H93" s="1">
        <v>5.0</v>
      </c>
      <c r="I93" s="1" t="s">
        <v>361</v>
      </c>
      <c r="J93" s="1" t="s">
        <v>362</v>
      </c>
    </row>
    <row r="94" ht="15.75" customHeight="1">
      <c r="A94" s="1" t="s">
        <v>363</v>
      </c>
      <c r="B94" s="4">
        <v>45686.0</v>
      </c>
      <c r="C94" s="1" t="s">
        <v>97</v>
      </c>
      <c r="D94" s="1" t="s">
        <v>47</v>
      </c>
      <c r="E94" s="1" t="s">
        <v>107</v>
      </c>
      <c r="F94" s="1" t="s">
        <v>50</v>
      </c>
      <c r="G94" s="1" t="s">
        <v>18</v>
      </c>
      <c r="H94" s="1">
        <v>1.0</v>
      </c>
      <c r="I94" s="1" t="s">
        <v>365</v>
      </c>
      <c r="J94" s="1" t="s">
        <v>365</v>
      </c>
    </row>
    <row r="95" ht="15.75" customHeight="1">
      <c r="A95" s="1" t="s">
        <v>367</v>
      </c>
      <c r="B95" s="4">
        <v>45686.0</v>
      </c>
      <c r="C95" s="1" t="s">
        <v>22</v>
      </c>
      <c r="D95" s="1" t="s">
        <v>15</v>
      </c>
      <c r="E95" s="1" t="s">
        <v>76</v>
      </c>
      <c r="F95" s="1" t="s">
        <v>77</v>
      </c>
      <c r="G95" s="1" t="s">
        <v>40</v>
      </c>
      <c r="H95" s="1">
        <v>1.0</v>
      </c>
      <c r="I95" s="1" t="s">
        <v>368</v>
      </c>
      <c r="J95" s="1" t="s">
        <v>368</v>
      </c>
    </row>
    <row r="96" ht="15.75" customHeight="1">
      <c r="A96" s="1" t="s">
        <v>369</v>
      </c>
      <c r="B96" s="4">
        <v>45687.0</v>
      </c>
      <c r="C96" s="1" t="s">
        <v>348</v>
      </c>
      <c r="D96" s="1" t="s">
        <v>38</v>
      </c>
      <c r="E96" s="1" t="s">
        <v>76</v>
      </c>
      <c r="F96" s="1" t="s">
        <v>77</v>
      </c>
      <c r="G96" s="1" t="s">
        <v>231</v>
      </c>
      <c r="H96" s="1">
        <v>1.0</v>
      </c>
      <c r="I96" s="1" t="s">
        <v>370</v>
      </c>
      <c r="J96" s="1" t="s">
        <v>371</v>
      </c>
    </row>
    <row r="97" ht="15.75" customHeight="1">
      <c r="A97" s="1" t="s">
        <v>372</v>
      </c>
      <c r="B97" s="4">
        <v>45687.0</v>
      </c>
      <c r="C97" s="1" t="s">
        <v>285</v>
      </c>
      <c r="D97" s="1" t="s">
        <v>58</v>
      </c>
      <c r="E97" s="1" t="s">
        <v>39</v>
      </c>
      <c r="F97" s="1" t="s">
        <v>17</v>
      </c>
      <c r="G97" s="1" t="s">
        <v>82</v>
      </c>
      <c r="H97" s="1">
        <v>2.0</v>
      </c>
      <c r="I97" s="1" t="s">
        <v>373</v>
      </c>
      <c r="J97" s="1" t="s">
        <v>374</v>
      </c>
    </row>
    <row r="98" ht="15.75" customHeight="1">
      <c r="A98" s="1" t="s">
        <v>375</v>
      </c>
      <c r="B98" s="4">
        <v>45687.0</v>
      </c>
      <c r="C98" s="1" t="s">
        <v>273</v>
      </c>
      <c r="D98" s="1" t="s">
        <v>38</v>
      </c>
      <c r="E98" s="1" t="s">
        <v>142</v>
      </c>
      <c r="F98" s="1" t="s">
        <v>77</v>
      </c>
      <c r="G98" s="1" t="s">
        <v>82</v>
      </c>
      <c r="H98" s="1">
        <v>2.0</v>
      </c>
      <c r="I98" s="1" t="s">
        <v>376</v>
      </c>
      <c r="J98" s="1" t="s">
        <v>377</v>
      </c>
    </row>
    <row r="99" ht="15.75" customHeight="1">
      <c r="A99" s="1" t="s">
        <v>378</v>
      </c>
      <c r="B99" s="4">
        <v>45687.0</v>
      </c>
      <c r="C99" s="1" t="s">
        <v>345</v>
      </c>
      <c r="D99" s="1" t="s">
        <v>58</v>
      </c>
      <c r="E99" s="1" t="s">
        <v>30</v>
      </c>
      <c r="F99" s="1" t="s">
        <v>31</v>
      </c>
      <c r="G99" s="1" t="s">
        <v>40</v>
      </c>
      <c r="H99" s="1">
        <v>20.0</v>
      </c>
      <c r="I99" s="1" t="s">
        <v>379</v>
      </c>
      <c r="J99" s="1" t="s">
        <v>380</v>
      </c>
    </row>
    <row r="100" ht="15.75" customHeight="1">
      <c r="A100" s="1" t="s">
        <v>381</v>
      </c>
      <c r="B100" s="4">
        <v>45688.0</v>
      </c>
      <c r="C100" s="1" t="s">
        <v>89</v>
      </c>
      <c r="D100" s="1" t="s">
        <v>15</v>
      </c>
      <c r="E100" s="1" t="s">
        <v>30</v>
      </c>
      <c r="F100" s="1" t="s">
        <v>31</v>
      </c>
      <c r="G100" s="1" t="s">
        <v>190</v>
      </c>
      <c r="H100" s="1">
        <v>2.0</v>
      </c>
      <c r="I100" s="1" t="s">
        <v>382</v>
      </c>
      <c r="J100" s="1" t="s">
        <v>383</v>
      </c>
    </row>
    <row r="101" ht="15.75" customHeight="1">
      <c r="A101" s="1" t="s">
        <v>384</v>
      </c>
      <c r="B101" s="4">
        <v>45689.0</v>
      </c>
      <c r="C101" s="1" t="s">
        <v>93</v>
      </c>
      <c r="D101" s="1" t="s">
        <v>128</v>
      </c>
      <c r="E101" s="1" t="s">
        <v>76</v>
      </c>
      <c r="F101" s="1" t="s">
        <v>77</v>
      </c>
      <c r="G101" s="1" t="s">
        <v>40</v>
      </c>
      <c r="H101" s="1">
        <v>1.0</v>
      </c>
      <c r="I101" s="1" t="s">
        <v>385</v>
      </c>
      <c r="J101" s="1" t="s">
        <v>385</v>
      </c>
    </row>
    <row r="102" ht="15.75" customHeight="1">
      <c r="A102" s="1" t="s">
        <v>386</v>
      </c>
      <c r="B102" s="4">
        <v>45689.0</v>
      </c>
      <c r="C102" s="1" t="s">
        <v>189</v>
      </c>
      <c r="D102" s="1" t="s">
        <v>38</v>
      </c>
      <c r="E102" s="1" t="s">
        <v>30</v>
      </c>
      <c r="F102" s="1" t="s">
        <v>31</v>
      </c>
      <c r="G102" s="1" t="s">
        <v>231</v>
      </c>
      <c r="H102" s="1">
        <v>10.0</v>
      </c>
      <c r="I102" s="1" t="s">
        <v>387</v>
      </c>
      <c r="J102" s="5" t="s">
        <v>388</v>
      </c>
    </row>
    <row r="103" ht="15.75" customHeight="1">
      <c r="A103" s="1" t="s">
        <v>389</v>
      </c>
      <c r="B103" s="4">
        <v>45689.0</v>
      </c>
      <c r="C103" s="1" t="s">
        <v>351</v>
      </c>
      <c r="D103" s="1" t="s">
        <v>23</v>
      </c>
      <c r="E103" s="1" t="s">
        <v>76</v>
      </c>
      <c r="F103" s="1" t="s">
        <v>77</v>
      </c>
      <c r="G103" s="1" t="s">
        <v>82</v>
      </c>
      <c r="H103" s="1">
        <v>1.0</v>
      </c>
      <c r="I103" s="1" t="s">
        <v>390</v>
      </c>
      <c r="J103" s="1" t="s">
        <v>391</v>
      </c>
    </row>
    <row r="104" ht="15.75" customHeight="1">
      <c r="A104" s="1" t="s">
        <v>392</v>
      </c>
      <c r="B104" s="4">
        <v>45690.0</v>
      </c>
      <c r="C104" s="1" t="s">
        <v>93</v>
      </c>
      <c r="D104" s="1" t="s">
        <v>15</v>
      </c>
      <c r="E104" s="1" t="s">
        <v>175</v>
      </c>
      <c r="F104" s="1" t="s">
        <v>50</v>
      </c>
      <c r="G104" s="1" t="s">
        <v>40</v>
      </c>
      <c r="H104" s="1">
        <v>5.0</v>
      </c>
      <c r="I104" s="1" t="s">
        <v>393</v>
      </c>
      <c r="J104" s="1" t="s">
        <v>394</v>
      </c>
    </row>
    <row r="105" ht="15.75" customHeight="1">
      <c r="A105" s="1" t="s">
        <v>395</v>
      </c>
      <c r="B105" s="4">
        <v>45690.0</v>
      </c>
      <c r="C105" s="1" t="s">
        <v>93</v>
      </c>
      <c r="D105" s="1" t="s">
        <v>15</v>
      </c>
      <c r="E105" s="1" t="s">
        <v>107</v>
      </c>
      <c r="F105" s="1" t="s">
        <v>50</v>
      </c>
      <c r="G105" s="1" t="s">
        <v>18</v>
      </c>
      <c r="H105" s="1">
        <v>1.0</v>
      </c>
      <c r="I105" s="1" t="s">
        <v>396</v>
      </c>
      <c r="J105" s="1" t="s">
        <v>397</v>
      </c>
    </row>
    <row r="106" ht="15.75" customHeight="1">
      <c r="A106" s="1" t="s">
        <v>398</v>
      </c>
      <c r="B106" s="4">
        <v>45690.0</v>
      </c>
      <c r="C106" s="1" t="s">
        <v>285</v>
      </c>
      <c r="D106" s="1" t="s">
        <v>47</v>
      </c>
      <c r="E106" s="1" t="s">
        <v>107</v>
      </c>
      <c r="F106" s="1" t="s">
        <v>50</v>
      </c>
      <c r="G106" s="1" t="s">
        <v>82</v>
      </c>
      <c r="H106" s="1">
        <v>5.0</v>
      </c>
      <c r="I106" s="1" t="s">
        <v>399</v>
      </c>
      <c r="J106" s="1" t="s">
        <v>400</v>
      </c>
    </row>
    <row r="107" ht="15.75" customHeight="1">
      <c r="A107" s="1" t="s">
        <v>401</v>
      </c>
      <c r="B107" s="4">
        <v>45691.0</v>
      </c>
      <c r="C107" s="1" t="s">
        <v>240</v>
      </c>
      <c r="D107" s="1" t="s">
        <v>23</v>
      </c>
      <c r="E107" s="1" t="s">
        <v>67</v>
      </c>
      <c r="F107" s="1" t="s">
        <v>31</v>
      </c>
      <c r="G107" s="1" t="s">
        <v>40</v>
      </c>
      <c r="H107" s="1">
        <v>2.0</v>
      </c>
      <c r="I107" s="1" t="s">
        <v>402</v>
      </c>
      <c r="J107" s="1" t="s">
        <v>403</v>
      </c>
    </row>
    <row r="108" ht="15.75" customHeight="1">
      <c r="A108" s="1" t="s">
        <v>404</v>
      </c>
      <c r="B108" s="4">
        <v>45691.0</v>
      </c>
      <c r="C108" s="1" t="s">
        <v>81</v>
      </c>
      <c r="D108" s="1" t="s">
        <v>58</v>
      </c>
      <c r="E108" s="1" t="s">
        <v>173</v>
      </c>
      <c r="F108" s="1" t="s">
        <v>31</v>
      </c>
      <c r="G108" s="1" t="s">
        <v>18</v>
      </c>
      <c r="H108" s="1">
        <v>1.0</v>
      </c>
      <c r="I108" s="1" t="s">
        <v>405</v>
      </c>
      <c r="J108" s="1" t="s">
        <v>405</v>
      </c>
    </row>
    <row r="109" ht="15.75" customHeight="1">
      <c r="A109" s="1" t="s">
        <v>406</v>
      </c>
      <c r="B109" s="4">
        <v>45692.0</v>
      </c>
      <c r="C109" s="1" t="s">
        <v>240</v>
      </c>
      <c r="D109" s="1" t="s">
        <v>47</v>
      </c>
      <c r="E109" s="1" t="s">
        <v>107</v>
      </c>
      <c r="F109" s="1" t="s">
        <v>50</v>
      </c>
      <c r="G109" s="1" t="s">
        <v>18</v>
      </c>
      <c r="H109" s="1">
        <v>5.0</v>
      </c>
      <c r="I109" s="1" t="s">
        <v>407</v>
      </c>
      <c r="J109" s="1" t="s">
        <v>408</v>
      </c>
    </row>
    <row r="110" ht="15.75" customHeight="1">
      <c r="A110" s="1" t="s">
        <v>409</v>
      </c>
      <c r="B110" s="4">
        <v>45692.0</v>
      </c>
      <c r="C110" s="1" t="s">
        <v>89</v>
      </c>
      <c r="D110" s="1" t="s">
        <v>47</v>
      </c>
      <c r="E110" s="1" t="s">
        <v>173</v>
      </c>
      <c r="F110" s="1" t="s">
        <v>31</v>
      </c>
      <c r="G110" s="1" t="s">
        <v>32</v>
      </c>
      <c r="H110" s="1">
        <v>5.0</v>
      </c>
      <c r="I110" s="1" t="s">
        <v>410</v>
      </c>
      <c r="J110" s="5">
        <v>93686.0</v>
      </c>
    </row>
    <row r="111" ht="15.75" customHeight="1">
      <c r="A111" s="1" t="s">
        <v>411</v>
      </c>
      <c r="B111" s="4">
        <v>45693.0</v>
      </c>
      <c r="C111" s="1" t="s">
        <v>103</v>
      </c>
      <c r="D111" s="1" t="s">
        <v>23</v>
      </c>
      <c r="E111" s="1" t="s">
        <v>16</v>
      </c>
      <c r="F111" s="1" t="s">
        <v>17</v>
      </c>
      <c r="G111" s="1" t="s">
        <v>40</v>
      </c>
      <c r="H111" s="1">
        <v>5.0</v>
      </c>
      <c r="I111" s="1" t="s">
        <v>412</v>
      </c>
      <c r="J111" s="1" t="s">
        <v>413</v>
      </c>
    </row>
    <row r="112" ht="15.75" customHeight="1">
      <c r="A112" s="1" t="s">
        <v>414</v>
      </c>
      <c r="B112" s="4">
        <v>45693.0</v>
      </c>
      <c r="C112" s="1" t="s">
        <v>46</v>
      </c>
      <c r="D112" s="1" t="s">
        <v>23</v>
      </c>
      <c r="E112" s="1" t="s">
        <v>16</v>
      </c>
      <c r="F112" s="1" t="s">
        <v>17</v>
      </c>
      <c r="G112" s="1" t="s">
        <v>18</v>
      </c>
      <c r="H112" s="1">
        <v>5.0</v>
      </c>
      <c r="I112" s="1" t="s">
        <v>415</v>
      </c>
      <c r="J112" s="1" t="s">
        <v>416</v>
      </c>
    </row>
    <row r="113" ht="15.75" customHeight="1">
      <c r="A113" s="1" t="s">
        <v>417</v>
      </c>
      <c r="B113" s="4">
        <v>45694.0</v>
      </c>
      <c r="C113" s="1" t="s">
        <v>351</v>
      </c>
      <c r="D113" s="1" t="s">
        <v>15</v>
      </c>
      <c r="E113" s="1" t="s">
        <v>175</v>
      </c>
      <c r="F113" s="1" t="s">
        <v>50</v>
      </c>
      <c r="G113" s="1" t="s">
        <v>82</v>
      </c>
      <c r="H113" s="1">
        <v>1.0</v>
      </c>
      <c r="I113" s="1" t="s">
        <v>418</v>
      </c>
      <c r="J113" s="1" t="s">
        <v>418</v>
      </c>
    </row>
    <row r="114" ht="15.75" customHeight="1">
      <c r="A114" s="1" t="s">
        <v>419</v>
      </c>
      <c r="B114" s="4">
        <v>45695.0</v>
      </c>
      <c r="C114" s="1" t="s">
        <v>111</v>
      </c>
      <c r="D114" s="1" t="s">
        <v>23</v>
      </c>
      <c r="E114" s="1" t="s">
        <v>16</v>
      </c>
      <c r="F114" s="1" t="s">
        <v>17</v>
      </c>
      <c r="G114" s="1" t="s">
        <v>253</v>
      </c>
      <c r="H114" s="1">
        <v>1.0</v>
      </c>
      <c r="I114" s="1" t="s">
        <v>420</v>
      </c>
      <c r="J114" s="1" t="s">
        <v>420</v>
      </c>
    </row>
    <row r="115" ht="15.75" customHeight="1">
      <c r="A115" s="1" t="s">
        <v>421</v>
      </c>
      <c r="B115" s="4">
        <v>45695.0</v>
      </c>
      <c r="C115" s="1" t="s">
        <v>246</v>
      </c>
      <c r="D115" s="1" t="s">
        <v>15</v>
      </c>
      <c r="E115" s="1" t="s">
        <v>142</v>
      </c>
      <c r="F115" s="1" t="s">
        <v>77</v>
      </c>
      <c r="G115" s="1" t="s">
        <v>82</v>
      </c>
      <c r="H115" s="1">
        <v>1.0</v>
      </c>
      <c r="I115" s="1" t="s">
        <v>422</v>
      </c>
      <c r="J115" s="1" t="s">
        <v>423</v>
      </c>
    </row>
    <row r="116" ht="15.75" customHeight="1">
      <c r="A116" s="1" t="s">
        <v>421</v>
      </c>
      <c r="B116" s="4">
        <v>45695.0</v>
      </c>
      <c r="C116" s="1" t="s">
        <v>246</v>
      </c>
      <c r="D116" s="1" t="s">
        <v>15</v>
      </c>
      <c r="E116" s="1" t="s">
        <v>142</v>
      </c>
      <c r="F116" s="1" t="s">
        <v>77</v>
      </c>
      <c r="G116" s="1" t="s">
        <v>82</v>
      </c>
      <c r="H116" s="1">
        <v>1.0</v>
      </c>
      <c r="I116" s="1" t="s">
        <v>422</v>
      </c>
      <c r="J116" s="1" t="s">
        <v>423</v>
      </c>
    </row>
    <row r="117" ht="15.75" customHeight="1">
      <c r="A117" s="1" t="s">
        <v>424</v>
      </c>
      <c r="B117" s="4">
        <v>45696.0</v>
      </c>
      <c r="C117" s="1" t="s">
        <v>199</v>
      </c>
      <c r="D117" s="1" t="s">
        <v>15</v>
      </c>
      <c r="E117" s="1" t="s">
        <v>118</v>
      </c>
      <c r="F117" s="1" t="s">
        <v>77</v>
      </c>
      <c r="G117" s="1" t="s">
        <v>82</v>
      </c>
      <c r="H117" s="1">
        <v>2.0</v>
      </c>
      <c r="I117" s="1" t="s">
        <v>425</v>
      </c>
      <c r="J117" s="1" t="s">
        <v>426</v>
      </c>
    </row>
    <row r="118" ht="15.75" customHeight="1">
      <c r="A118" s="1" t="s">
        <v>427</v>
      </c>
      <c r="B118" s="4">
        <v>45696.0</v>
      </c>
      <c r="C118" s="1" t="s">
        <v>147</v>
      </c>
      <c r="D118" s="1" t="s">
        <v>15</v>
      </c>
      <c r="E118" s="1" t="s">
        <v>39</v>
      </c>
      <c r="F118" s="1" t="s">
        <v>17</v>
      </c>
      <c r="G118" s="1" t="s">
        <v>82</v>
      </c>
      <c r="H118" s="1">
        <v>1.0</v>
      </c>
      <c r="I118" s="1" t="s">
        <v>428</v>
      </c>
      <c r="J118" s="1" t="s">
        <v>428</v>
      </c>
    </row>
    <row r="119" ht="15.75" customHeight="1">
      <c r="A119" s="1" t="s">
        <v>429</v>
      </c>
      <c r="B119" s="4">
        <v>45696.0</v>
      </c>
      <c r="C119" s="1" t="s">
        <v>57</v>
      </c>
      <c r="D119" s="1" t="s">
        <v>23</v>
      </c>
      <c r="E119" s="1" t="s">
        <v>142</v>
      </c>
      <c r="F119" s="1" t="s">
        <v>77</v>
      </c>
      <c r="G119" s="1" t="s">
        <v>40</v>
      </c>
      <c r="H119" s="1">
        <v>1.0</v>
      </c>
      <c r="I119" s="1" t="s">
        <v>430</v>
      </c>
      <c r="J119" s="1" t="s">
        <v>431</v>
      </c>
    </row>
    <row r="120" ht="15.75" customHeight="1">
      <c r="A120" s="1" t="s">
        <v>432</v>
      </c>
      <c r="B120" s="4">
        <v>45696.0</v>
      </c>
      <c r="C120" s="1" t="s">
        <v>57</v>
      </c>
      <c r="D120" s="1" t="s">
        <v>23</v>
      </c>
      <c r="E120" s="1" t="s">
        <v>67</v>
      </c>
      <c r="F120" s="1" t="s">
        <v>31</v>
      </c>
      <c r="G120" s="1" t="s">
        <v>253</v>
      </c>
      <c r="H120" s="1">
        <v>20.0</v>
      </c>
      <c r="I120" s="1" t="s">
        <v>433</v>
      </c>
      <c r="J120" s="5">
        <v>973160.0</v>
      </c>
    </row>
    <row r="121" ht="15.75" customHeight="1">
      <c r="A121" s="1" t="s">
        <v>434</v>
      </c>
      <c r="B121" s="4">
        <v>45696.0</v>
      </c>
      <c r="C121" s="1" t="s">
        <v>89</v>
      </c>
      <c r="D121" s="1" t="s">
        <v>38</v>
      </c>
      <c r="E121" s="1" t="s">
        <v>142</v>
      </c>
      <c r="F121" s="1" t="s">
        <v>77</v>
      </c>
      <c r="G121" s="1" t="s">
        <v>40</v>
      </c>
      <c r="H121" s="1">
        <v>20.0</v>
      </c>
      <c r="I121" s="1" t="s">
        <v>435</v>
      </c>
      <c r="J121" s="1" t="s">
        <v>436</v>
      </c>
    </row>
    <row r="122" ht="15.75" customHeight="1">
      <c r="A122" s="1" t="s">
        <v>437</v>
      </c>
      <c r="B122" s="4">
        <v>45697.0</v>
      </c>
      <c r="C122" s="1" t="s">
        <v>210</v>
      </c>
      <c r="D122" s="1" t="s">
        <v>58</v>
      </c>
      <c r="E122" s="1" t="s">
        <v>173</v>
      </c>
      <c r="F122" s="1" t="s">
        <v>31</v>
      </c>
      <c r="G122" s="1" t="s">
        <v>82</v>
      </c>
      <c r="H122" s="1">
        <v>10.0</v>
      </c>
      <c r="I122" s="19" t="s">
        <v>438</v>
      </c>
      <c r="J122" s="1" t="s">
        <v>439</v>
      </c>
    </row>
    <row r="123" ht="15.75" customHeight="1">
      <c r="A123" s="1" t="s">
        <v>440</v>
      </c>
      <c r="B123" s="4">
        <v>45697.0</v>
      </c>
      <c r="C123" s="1" t="s">
        <v>93</v>
      </c>
      <c r="D123" s="1" t="s">
        <v>47</v>
      </c>
      <c r="E123" s="1" t="s">
        <v>24</v>
      </c>
      <c r="F123" s="1" t="s">
        <v>17</v>
      </c>
      <c r="G123" s="1" t="s">
        <v>32</v>
      </c>
      <c r="H123" s="1">
        <v>1.0</v>
      </c>
      <c r="I123" s="1" t="s">
        <v>441</v>
      </c>
      <c r="J123" s="1" t="s">
        <v>441</v>
      </c>
    </row>
    <row r="124" ht="15.75" customHeight="1">
      <c r="A124" s="1" t="s">
        <v>442</v>
      </c>
      <c r="B124" s="4">
        <v>45698.0</v>
      </c>
      <c r="C124" s="1" t="s">
        <v>65</v>
      </c>
      <c r="D124" s="1" t="s">
        <v>23</v>
      </c>
      <c r="E124" s="1" t="s">
        <v>30</v>
      </c>
      <c r="F124" s="1" t="s">
        <v>31</v>
      </c>
      <c r="G124" s="1" t="s">
        <v>18</v>
      </c>
      <c r="H124" s="1">
        <v>20.0</v>
      </c>
      <c r="I124" s="1" t="s">
        <v>443</v>
      </c>
      <c r="J124" s="5">
        <v>804662.0</v>
      </c>
    </row>
    <row r="125" ht="15.75" customHeight="1">
      <c r="A125" s="1" t="s">
        <v>444</v>
      </c>
      <c r="B125" s="4">
        <v>45698.0</v>
      </c>
      <c r="C125" s="1" t="s">
        <v>445</v>
      </c>
      <c r="D125" s="1" t="s">
        <v>15</v>
      </c>
      <c r="E125" s="1" t="s">
        <v>76</v>
      </c>
      <c r="F125" s="1" t="s">
        <v>77</v>
      </c>
      <c r="G125" s="1" t="s">
        <v>40</v>
      </c>
      <c r="H125" s="1">
        <v>1.0</v>
      </c>
      <c r="I125" s="1" t="s">
        <v>446</v>
      </c>
      <c r="J125" s="1" t="s">
        <v>446</v>
      </c>
    </row>
    <row r="126" ht="15.75" customHeight="1">
      <c r="A126" s="1" t="s">
        <v>447</v>
      </c>
      <c r="B126" s="4">
        <v>45699.0</v>
      </c>
      <c r="C126" s="1" t="s">
        <v>74</v>
      </c>
      <c r="D126" s="1" t="s">
        <v>128</v>
      </c>
      <c r="E126" s="1" t="s">
        <v>76</v>
      </c>
      <c r="F126" s="1" t="s">
        <v>77</v>
      </c>
      <c r="G126" s="1" t="s">
        <v>32</v>
      </c>
      <c r="H126" s="1">
        <v>1.0</v>
      </c>
      <c r="I126" s="1" t="s">
        <v>448</v>
      </c>
      <c r="J126" s="1" t="s">
        <v>449</v>
      </c>
    </row>
    <row r="127" ht="15.75" customHeight="1">
      <c r="A127" s="1" t="s">
        <v>450</v>
      </c>
      <c r="B127" s="4">
        <v>45699.0</v>
      </c>
      <c r="C127" s="1" t="s">
        <v>285</v>
      </c>
      <c r="D127" s="1" t="s">
        <v>47</v>
      </c>
      <c r="E127" s="1" t="s">
        <v>48</v>
      </c>
      <c r="F127" s="1" t="s">
        <v>50</v>
      </c>
      <c r="G127" s="1" t="s">
        <v>40</v>
      </c>
      <c r="H127" s="1">
        <v>2.0</v>
      </c>
      <c r="I127" s="1" t="s">
        <v>451</v>
      </c>
      <c r="J127" s="1" t="s">
        <v>452</v>
      </c>
    </row>
    <row r="128" ht="15.75" customHeight="1">
      <c r="A128" s="1" t="s">
        <v>453</v>
      </c>
      <c r="B128" s="4">
        <v>45700.0</v>
      </c>
      <c r="C128" s="1" t="s">
        <v>454</v>
      </c>
      <c r="D128" s="1" t="s">
        <v>15</v>
      </c>
      <c r="E128" s="1" t="s">
        <v>107</v>
      </c>
      <c r="F128" s="1" t="s">
        <v>50</v>
      </c>
      <c r="G128" s="1" t="s">
        <v>18</v>
      </c>
      <c r="H128" s="1">
        <v>5.0</v>
      </c>
      <c r="I128" s="1" t="s">
        <v>455</v>
      </c>
      <c r="J128" s="1" t="s">
        <v>456</v>
      </c>
    </row>
    <row r="129" ht="15.75" customHeight="1">
      <c r="A129" s="1" t="s">
        <v>457</v>
      </c>
      <c r="B129" s="4">
        <v>45701.0</v>
      </c>
      <c r="C129" s="1" t="s">
        <v>345</v>
      </c>
      <c r="D129" s="1" t="s">
        <v>128</v>
      </c>
      <c r="E129" s="1" t="s">
        <v>107</v>
      </c>
      <c r="F129" s="1" t="s">
        <v>50</v>
      </c>
      <c r="G129" s="1" t="s">
        <v>32</v>
      </c>
      <c r="H129" s="1">
        <v>10.0</v>
      </c>
      <c r="I129" s="1" t="s">
        <v>458</v>
      </c>
      <c r="J129" s="1" t="s">
        <v>459</v>
      </c>
    </row>
    <row r="130" ht="15.75" customHeight="1">
      <c r="A130" s="1" t="s">
        <v>460</v>
      </c>
      <c r="B130" s="4">
        <v>45703.0</v>
      </c>
      <c r="C130" s="1" t="s">
        <v>330</v>
      </c>
      <c r="D130" s="1" t="s">
        <v>23</v>
      </c>
      <c r="E130" s="1" t="s">
        <v>118</v>
      </c>
      <c r="F130" s="1" t="s">
        <v>77</v>
      </c>
      <c r="G130" s="1" t="s">
        <v>32</v>
      </c>
      <c r="H130" s="1">
        <v>1.0</v>
      </c>
      <c r="I130" s="1" t="s">
        <v>461</v>
      </c>
      <c r="J130" s="1" t="s">
        <v>462</v>
      </c>
    </row>
    <row r="131" ht="15.75" customHeight="1">
      <c r="A131" s="1" t="s">
        <v>463</v>
      </c>
      <c r="B131" s="4">
        <v>45704.0</v>
      </c>
      <c r="C131" s="1" t="s">
        <v>464</v>
      </c>
      <c r="D131" s="1" t="s">
        <v>128</v>
      </c>
      <c r="E131" s="1" t="s">
        <v>118</v>
      </c>
      <c r="F131" s="1" t="s">
        <v>77</v>
      </c>
      <c r="G131" s="1" t="s">
        <v>18</v>
      </c>
      <c r="H131" s="1">
        <v>1.0</v>
      </c>
      <c r="I131" s="1" t="s">
        <v>465</v>
      </c>
      <c r="J131" s="1" t="s">
        <v>465</v>
      </c>
    </row>
    <row r="132" ht="15.75" customHeight="1">
      <c r="A132" s="1" t="s">
        <v>466</v>
      </c>
      <c r="B132" s="4">
        <v>45705.0</v>
      </c>
      <c r="C132" s="1" t="s">
        <v>36</v>
      </c>
      <c r="D132" s="1" t="s">
        <v>58</v>
      </c>
      <c r="E132" s="1" t="s">
        <v>142</v>
      </c>
      <c r="F132" s="1" t="s">
        <v>77</v>
      </c>
      <c r="G132" s="1" t="s">
        <v>32</v>
      </c>
      <c r="H132" s="1">
        <v>1.0</v>
      </c>
      <c r="I132" s="1" t="s">
        <v>467</v>
      </c>
      <c r="J132" s="1" t="s">
        <v>467</v>
      </c>
    </row>
    <row r="133" ht="15.75" customHeight="1">
      <c r="A133" s="1" t="s">
        <v>468</v>
      </c>
      <c r="B133" s="4">
        <v>45706.0</v>
      </c>
      <c r="C133" s="1" t="s">
        <v>14</v>
      </c>
      <c r="D133" s="1" t="s">
        <v>15</v>
      </c>
      <c r="E133" s="1" t="s">
        <v>175</v>
      </c>
      <c r="F133" s="1" t="s">
        <v>50</v>
      </c>
      <c r="G133" s="1" t="s">
        <v>40</v>
      </c>
      <c r="H133" s="1">
        <v>1.0</v>
      </c>
      <c r="I133" s="1" t="s">
        <v>469</v>
      </c>
      <c r="J133" s="1" t="s">
        <v>469</v>
      </c>
    </row>
    <row r="134" ht="15.75" customHeight="1">
      <c r="A134" s="1" t="s">
        <v>470</v>
      </c>
      <c r="B134" s="4">
        <v>45706.0</v>
      </c>
      <c r="C134" s="1" t="s">
        <v>22</v>
      </c>
      <c r="D134" s="1" t="s">
        <v>15</v>
      </c>
      <c r="E134" s="1" t="s">
        <v>173</v>
      </c>
      <c r="F134" s="1" t="s">
        <v>31</v>
      </c>
      <c r="G134" s="1" t="s">
        <v>190</v>
      </c>
      <c r="H134" s="1">
        <v>5.0</v>
      </c>
      <c r="I134" s="1" t="s">
        <v>471</v>
      </c>
      <c r="J134" s="1" t="s">
        <v>472</v>
      </c>
    </row>
    <row r="135" ht="15.75" customHeight="1">
      <c r="A135" s="1" t="s">
        <v>473</v>
      </c>
      <c r="B135" s="4">
        <v>45706.0</v>
      </c>
      <c r="C135" s="1" t="s">
        <v>454</v>
      </c>
      <c r="D135" s="1" t="s">
        <v>23</v>
      </c>
      <c r="E135" s="1" t="s">
        <v>175</v>
      </c>
      <c r="F135" s="1" t="s">
        <v>50</v>
      </c>
      <c r="G135" s="1" t="s">
        <v>18</v>
      </c>
      <c r="H135" s="1">
        <v>20.0</v>
      </c>
      <c r="I135" s="1" t="s">
        <v>474</v>
      </c>
      <c r="J135" s="1" t="s">
        <v>475</v>
      </c>
    </row>
    <row r="136" ht="15.75" customHeight="1">
      <c r="A136" s="1" t="s">
        <v>476</v>
      </c>
      <c r="B136" s="4">
        <v>45706.0</v>
      </c>
      <c r="C136" s="1" t="s">
        <v>227</v>
      </c>
      <c r="D136" s="1" t="s">
        <v>47</v>
      </c>
      <c r="E136" s="1" t="s">
        <v>30</v>
      </c>
      <c r="F136" s="1" t="s">
        <v>31</v>
      </c>
      <c r="G136" s="1" t="s">
        <v>40</v>
      </c>
      <c r="H136" s="1">
        <v>1.0</v>
      </c>
      <c r="I136" s="1" t="s">
        <v>477</v>
      </c>
      <c r="J136" s="1" t="s">
        <v>477</v>
      </c>
    </row>
    <row r="137" ht="15.75" customHeight="1">
      <c r="A137" s="1" t="s">
        <v>478</v>
      </c>
      <c r="B137" s="4">
        <v>45706.0</v>
      </c>
      <c r="C137" s="1" t="s">
        <v>246</v>
      </c>
      <c r="D137" s="1" t="s">
        <v>15</v>
      </c>
      <c r="E137" s="1" t="s">
        <v>48</v>
      </c>
      <c r="F137" s="1" t="s">
        <v>50</v>
      </c>
      <c r="G137" s="1" t="s">
        <v>82</v>
      </c>
      <c r="H137" s="1">
        <v>2.0</v>
      </c>
      <c r="I137" s="1" t="s">
        <v>479</v>
      </c>
      <c r="J137" s="1" t="s">
        <v>480</v>
      </c>
    </row>
    <row r="138" ht="15.75" customHeight="1">
      <c r="A138" s="1" t="s">
        <v>481</v>
      </c>
      <c r="B138" s="4">
        <v>45707.0</v>
      </c>
      <c r="C138" s="1" t="s">
        <v>351</v>
      </c>
      <c r="D138" s="1" t="s">
        <v>58</v>
      </c>
      <c r="E138" s="1" t="s">
        <v>30</v>
      </c>
      <c r="F138" s="1" t="s">
        <v>31</v>
      </c>
      <c r="G138" s="1" t="s">
        <v>82</v>
      </c>
      <c r="H138" s="1">
        <v>10.0</v>
      </c>
      <c r="I138" s="1" t="s">
        <v>482</v>
      </c>
      <c r="J138" s="5">
        <v>2911136.0</v>
      </c>
    </row>
    <row r="139" ht="15.75" customHeight="1">
      <c r="A139" s="1" t="s">
        <v>483</v>
      </c>
      <c r="B139" s="4">
        <v>45708.0</v>
      </c>
      <c r="C139" s="1" t="s">
        <v>74</v>
      </c>
      <c r="D139" s="1" t="s">
        <v>15</v>
      </c>
      <c r="E139" s="1" t="s">
        <v>175</v>
      </c>
      <c r="F139" s="1" t="s">
        <v>50</v>
      </c>
      <c r="G139" s="1" t="s">
        <v>40</v>
      </c>
      <c r="H139" s="1">
        <v>2.0</v>
      </c>
      <c r="I139" s="1" t="s">
        <v>484</v>
      </c>
      <c r="J139" s="1" t="s">
        <v>485</v>
      </c>
    </row>
    <row r="140" ht="15.75" customHeight="1">
      <c r="A140" s="1" t="s">
        <v>486</v>
      </c>
      <c r="B140" s="4">
        <v>45708.0</v>
      </c>
      <c r="C140" s="1" t="s">
        <v>227</v>
      </c>
      <c r="D140" s="1" t="s">
        <v>128</v>
      </c>
      <c r="E140" s="1" t="s">
        <v>107</v>
      </c>
      <c r="F140" s="1" t="s">
        <v>50</v>
      </c>
      <c r="G140" s="1" t="s">
        <v>32</v>
      </c>
      <c r="H140" s="1">
        <v>50.0</v>
      </c>
      <c r="I140" s="1" t="s">
        <v>487</v>
      </c>
      <c r="J140" s="5">
        <v>453753.0</v>
      </c>
    </row>
    <row r="141" ht="15.75" customHeight="1">
      <c r="A141" s="1" t="s">
        <v>488</v>
      </c>
      <c r="B141" s="4">
        <v>45708.0</v>
      </c>
      <c r="C141" s="1" t="s">
        <v>489</v>
      </c>
      <c r="D141" s="1" t="s">
        <v>23</v>
      </c>
      <c r="E141" s="1" t="s">
        <v>490</v>
      </c>
      <c r="F141" s="1" t="s">
        <v>491</v>
      </c>
      <c r="G141" s="1" t="s">
        <v>234</v>
      </c>
      <c r="H141" s="1">
        <v>1.0</v>
      </c>
      <c r="I141" s="1" t="s">
        <v>237</v>
      </c>
      <c r="J141" s="1" t="s">
        <v>238</v>
      </c>
    </row>
    <row r="142" ht="15.75" customHeight="1">
      <c r="A142" s="1" t="s">
        <v>492</v>
      </c>
      <c r="B142" s="4">
        <v>45709.0</v>
      </c>
      <c r="C142" s="1" t="s">
        <v>330</v>
      </c>
      <c r="D142" s="1" t="s">
        <v>23</v>
      </c>
      <c r="E142" s="1" t="s">
        <v>30</v>
      </c>
      <c r="F142" s="1" t="s">
        <v>31</v>
      </c>
      <c r="G142" s="1" t="s">
        <v>18</v>
      </c>
      <c r="H142" s="1">
        <v>2.0</v>
      </c>
      <c r="I142" s="1" t="s">
        <v>493</v>
      </c>
      <c r="J142" s="1" t="s">
        <v>494</v>
      </c>
    </row>
    <row r="143" ht="15.75" customHeight="1">
      <c r="A143" s="1" t="s">
        <v>495</v>
      </c>
      <c r="B143" s="4">
        <v>45709.0</v>
      </c>
      <c r="C143" s="1" t="s">
        <v>65</v>
      </c>
      <c r="D143" s="1" t="s">
        <v>15</v>
      </c>
      <c r="E143" s="1" t="s">
        <v>39</v>
      </c>
      <c r="F143" s="1" t="s">
        <v>17</v>
      </c>
      <c r="G143" s="1" t="s">
        <v>82</v>
      </c>
      <c r="H143" s="1">
        <v>50.0</v>
      </c>
      <c r="I143" s="1" t="s">
        <v>496</v>
      </c>
      <c r="J143" s="1" t="s">
        <v>497</v>
      </c>
    </row>
    <row r="144" ht="15.75" customHeight="1">
      <c r="A144" s="1" t="s">
        <v>498</v>
      </c>
      <c r="B144" s="4">
        <v>45709.0</v>
      </c>
      <c r="C144" s="1" t="s">
        <v>147</v>
      </c>
      <c r="D144" s="1" t="s">
        <v>47</v>
      </c>
      <c r="E144" s="1" t="s">
        <v>118</v>
      </c>
      <c r="F144" s="1" t="s">
        <v>77</v>
      </c>
      <c r="G144" s="1" t="s">
        <v>40</v>
      </c>
      <c r="H144" s="1">
        <v>10.0</v>
      </c>
      <c r="I144" s="1" t="s">
        <v>499</v>
      </c>
      <c r="J144" s="5">
        <v>1098682.0</v>
      </c>
    </row>
    <row r="145" ht="15.75" customHeight="1">
      <c r="A145" s="1" t="s">
        <v>500</v>
      </c>
      <c r="B145" s="4">
        <v>45709.0</v>
      </c>
      <c r="C145" s="1" t="s">
        <v>135</v>
      </c>
      <c r="D145" s="1" t="s">
        <v>47</v>
      </c>
      <c r="E145" s="1" t="s">
        <v>30</v>
      </c>
      <c r="F145" s="1" t="s">
        <v>31</v>
      </c>
      <c r="G145" s="1" t="s">
        <v>231</v>
      </c>
      <c r="H145" s="1">
        <v>2.0</v>
      </c>
      <c r="I145" s="1" t="s">
        <v>501</v>
      </c>
      <c r="J145" s="1" t="s">
        <v>502</v>
      </c>
    </row>
    <row r="146" ht="15.75" customHeight="1">
      <c r="A146" s="1" t="s">
        <v>503</v>
      </c>
      <c r="B146" s="4">
        <v>45709.0</v>
      </c>
      <c r="C146" s="1" t="s">
        <v>135</v>
      </c>
      <c r="D146" s="1" t="s">
        <v>23</v>
      </c>
      <c r="E146" s="1" t="s">
        <v>67</v>
      </c>
      <c r="F146" s="1" t="s">
        <v>31</v>
      </c>
      <c r="G146" s="1" t="s">
        <v>40</v>
      </c>
      <c r="H146" s="1">
        <v>5.0</v>
      </c>
      <c r="I146" s="1" t="s">
        <v>504</v>
      </c>
      <c r="J146" s="1" t="s">
        <v>505</v>
      </c>
    </row>
    <row r="147" ht="15.75" customHeight="1">
      <c r="A147" s="1" t="s">
        <v>506</v>
      </c>
      <c r="B147" s="4">
        <v>45709.0</v>
      </c>
      <c r="C147" s="1" t="s">
        <v>132</v>
      </c>
      <c r="D147" s="1" t="s">
        <v>15</v>
      </c>
      <c r="E147" s="1" t="s">
        <v>30</v>
      </c>
      <c r="F147" s="1" t="s">
        <v>31</v>
      </c>
      <c r="G147" s="1" t="s">
        <v>94</v>
      </c>
      <c r="H147" s="1">
        <v>1.0</v>
      </c>
      <c r="I147" s="1" t="s">
        <v>507</v>
      </c>
      <c r="J147" s="1" t="s">
        <v>507</v>
      </c>
    </row>
    <row r="148" ht="15.75" customHeight="1">
      <c r="A148" s="1" t="s">
        <v>508</v>
      </c>
      <c r="B148" s="4">
        <v>45709.0</v>
      </c>
      <c r="C148" s="1" t="s">
        <v>246</v>
      </c>
      <c r="D148" s="1" t="s">
        <v>15</v>
      </c>
      <c r="E148" s="1" t="s">
        <v>30</v>
      </c>
      <c r="F148" s="1" t="s">
        <v>31</v>
      </c>
      <c r="G148" s="1" t="s">
        <v>82</v>
      </c>
      <c r="H148" s="1">
        <v>1.0</v>
      </c>
      <c r="I148" s="1" t="s">
        <v>509</v>
      </c>
      <c r="J148" s="1" t="s">
        <v>509</v>
      </c>
    </row>
    <row r="149" ht="15.75" customHeight="1">
      <c r="A149" s="1" t="s">
        <v>510</v>
      </c>
      <c r="B149" s="4">
        <v>45710.0</v>
      </c>
      <c r="C149" s="1" t="s">
        <v>273</v>
      </c>
      <c r="D149" s="1" t="s">
        <v>511</v>
      </c>
      <c r="E149" s="1" t="s">
        <v>39</v>
      </c>
      <c r="F149" s="1" t="s">
        <v>17</v>
      </c>
      <c r="G149" s="1" t="s">
        <v>82</v>
      </c>
      <c r="H149" s="1">
        <v>2.0</v>
      </c>
      <c r="I149" s="1" t="s">
        <v>512</v>
      </c>
      <c r="J149" s="1" t="s">
        <v>513</v>
      </c>
    </row>
    <row r="150" ht="15.75" customHeight="1">
      <c r="A150" s="1" t="s">
        <v>514</v>
      </c>
      <c r="B150" s="4">
        <v>45711.0</v>
      </c>
      <c r="C150" s="1" t="s">
        <v>454</v>
      </c>
      <c r="D150" s="1" t="s">
        <v>128</v>
      </c>
      <c r="E150" s="1" t="s">
        <v>67</v>
      </c>
      <c r="F150" s="1" t="s">
        <v>31</v>
      </c>
      <c r="G150" s="1" t="s">
        <v>40</v>
      </c>
      <c r="H150" s="1">
        <v>10.0</v>
      </c>
      <c r="I150" s="1" t="s">
        <v>515</v>
      </c>
      <c r="J150" s="1" t="s">
        <v>516</v>
      </c>
    </row>
    <row r="151" ht="15.75" customHeight="1">
      <c r="A151" s="1" t="s">
        <v>517</v>
      </c>
      <c r="B151" s="4">
        <v>45711.0</v>
      </c>
      <c r="C151" s="1" t="s">
        <v>65</v>
      </c>
      <c r="D151" s="1" t="s">
        <v>47</v>
      </c>
      <c r="E151" s="1" t="s">
        <v>67</v>
      </c>
      <c r="F151" s="1" t="s">
        <v>31</v>
      </c>
      <c r="G151" s="1" t="s">
        <v>40</v>
      </c>
      <c r="H151" s="1">
        <v>1.0</v>
      </c>
      <c r="I151" s="1" t="s">
        <v>518</v>
      </c>
      <c r="J151" s="1" t="s">
        <v>518</v>
      </c>
    </row>
    <row r="152" ht="15.75" customHeight="1">
      <c r="A152" s="1" t="s">
        <v>519</v>
      </c>
      <c r="B152" s="4">
        <v>45711.0</v>
      </c>
      <c r="C152" s="1" t="s">
        <v>351</v>
      </c>
      <c r="D152" s="1" t="s">
        <v>23</v>
      </c>
      <c r="E152" s="1" t="s">
        <v>107</v>
      </c>
      <c r="F152" s="1" t="s">
        <v>50</v>
      </c>
      <c r="G152" s="1" t="s">
        <v>82</v>
      </c>
      <c r="H152" s="1">
        <v>2.0</v>
      </c>
      <c r="I152" s="1" t="s">
        <v>520</v>
      </c>
      <c r="J152" s="1" t="s">
        <v>521</v>
      </c>
    </row>
    <row r="153" ht="15.75" customHeight="1">
      <c r="A153" s="1" t="s">
        <v>522</v>
      </c>
      <c r="B153" s="4">
        <v>45711.0</v>
      </c>
      <c r="C153" s="1" t="s">
        <v>132</v>
      </c>
      <c r="D153" s="1" t="s">
        <v>15</v>
      </c>
      <c r="E153" s="1" t="s">
        <v>16</v>
      </c>
      <c r="F153" s="1" t="s">
        <v>17</v>
      </c>
      <c r="G153" s="1" t="s">
        <v>40</v>
      </c>
      <c r="H153" s="1">
        <v>10.0</v>
      </c>
      <c r="I153" s="1" t="s">
        <v>523</v>
      </c>
      <c r="J153" s="1" t="s">
        <v>524</v>
      </c>
    </row>
    <row r="154" ht="15.75" customHeight="1">
      <c r="A154" s="1" t="s">
        <v>525</v>
      </c>
      <c r="B154" s="4">
        <v>45712.0</v>
      </c>
      <c r="C154" s="1" t="s">
        <v>205</v>
      </c>
      <c r="D154" s="1" t="s">
        <v>23</v>
      </c>
      <c r="E154" s="1" t="s">
        <v>39</v>
      </c>
      <c r="F154" s="1" t="s">
        <v>17</v>
      </c>
      <c r="G154" s="1" t="s">
        <v>18</v>
      </c>
      <c r="H154" s="1">
        <v>1.0</v>
      </c>
      <c r="I154" s="1" t="s">
        <v>526</v>
      </c>
      <c r="J154" s="1" t="s">
        <v>526</v>
      </c>
    </row>
    <row r="155" ht="15.75" customHeight="1">
      <c r="A155" s="1" t="s">
        <v>527</v>
      </c>
      <c r="B155" s="4">
        <v>45712.0</v>
      </c>
      <c r="C155" s="1" t="s">
        <v>348</v>
      </c>
      <c r="D155" s="1" t="s">
        <v>128</v>
      </c>
      <c r="E155" s="1" t="s">
        <v>30</v>
      </c>
      <c r="F155" s="1" t="s">
        <v>31</v>
      </c>
      <c r="G155" s="1" t="s">
        <v>18</v>
      </c>
      <c r="H155" s="1">
        <v>1.0</v>
      </c>
      <c r="I155" s="1" t="s">
        <v>528</v>
      </c>
      <c r="J155" s="1" t="s">
        <v>528</v>
      </c>
    </row>
    <row r="156" ht="15.75" customHeight="1">
      <c r="A156" s="1" t="s">
        <v>529</v>
      </c>
      <c r="B156" s="4">
        <v>45712.0</v>
      </c>
      <c r="C156" s="1" t="s">
        <v>345</v>
      </c>
      <c r="D156" s="1" t="s">
        <v>47</v>
      </c>
      <c r="E156" s="1" t="s">
        <v>142</v>
      </c>
      <c r="F156" s="1" t="s">
        <v>77</v>
      </c>
      <c r="G156" s="1" t="s">
        <v>190</v>
      </c>
      <c r="H156" s="1">
        <v>1.0</v>
      </c>
      <c r="I156" s="1" t="s">
        <v>530</v>
      </c>
      <c r="J156" s="1" t="s">
        <v>530</v>
      </c>
    </row>
    <row r="157" ht="15.75" customHeight="1">
      <c r="A157" s="1" t="s">
        <v>531</v>
      </c>
      <c r="B157" s="4">
        <v>45712.0</v>
      </c>
      <c r="C157" s="1" t="s">
        <v>93</v>
      </c>
      <c r="D157" s="1" t="s">
        <v>58</v>
      </c>
      <c r="E157" s="1" t="s">
        <v>76</v>
      </c>
      <c r="F157" s="1" t="s">
        <v>77</v>
      </c>
      <c r="G157" s="1" t="s">
        <v>18</v>
      </c>
      <c r="H157" s="1">
        <v>1.0</v>
      </c>
      <c r="I157" s="1" t="s">
        <v>532</v>
      </c>
      <c r="J157" s="1" t="s">
        <v>532</v>
      </c>
    </row>
    <row r="158" ht="15.75" customHeight="1">
      <c r="A158" s="1" t="s">
        <v>533</v>
      </c>
      <c r="B158" s="4">
        <v>45713.0</v>
      </c>
      <c r="C158" s="1" t="s">
        <v>103</v>
      </c>
      <c r="D158" s="1" t="s">
        <v>15</v>
      </c>
      <c r="E158" s="1" t="s">
        <v>175</v>
      </c>
      <c r="F158" s="1" t="s">
        <v>50</v>
      </c>
      <c r="G158" s="1" t="s">
        <v>82</v>
      </c>
      <c r="H158" s="1">
        <v>2.0</v>
      </c>
      <c r="I158" s="1" t="s">
        <v>534</v>
      </c>
      <c r="J158" s="1" t="s">
        <v>535</v>
      </c>
    </row>
    <row r="159" ht="15.75" customHeight="1">
      <c r="A159" s="1" t="s">
        <v>536</v>
      </c>
      <c r="B159" s="4">
        <v>45713.0</v>
      </c>
      <c r="C159" s="1" t="s">
        <v>240</v>
      </c>
      <c r="D159" s="1" t="s">
        <v>23</v>
      </c>
      <c r="E159" s="1" t="s">
        <v>76</v>
      </c>
      <c r="F159" s="1" t="s">
        <v>77</v>
      </c>
      <c r="G159" s="1" t="s">
        <v>32</v>
      </c>
      <c r="H159" s="1">
        <v>5.0</v>
      </c>
      <c r="I159" s="1" t="s">
        <v>537</v>
      </c>
      <c r="J159" s="5" t="s">
        <v>538</v>
      </c>
    </row>
    <row r="160" ht="15.75" customHeight="1">
      <c r="A160" s="1" t="s">
        <v>539</v>
      </c>
      <c r="B160" s="4">
        <v>45714.0</v>
      </c>
      <c r="C160" s="1" t="s">
        <v>240</v>
      </c>
      <c r="D160" s="1" t="s">
        <v>23</v>
      </c>
      <c r="E160" s="1" t="s">
        <v>24</v>
      </c>
      <c r="F160" s="1" t="s">
        <v>17</v>
      </c>
      <c r="G160" s="1" t="s">
        <v>40</v>
      </c>
      <c r="H160" s="1">
        <v>10.0</v>
      </c>
      <c r="I160" s="1" t="s">
        <v>540</v>
      </c>
      <c r="J160" s="5" t="s">
        <v>541</v>
      </c>
    </row>
    <row r="161" ht="15.75" customHeight="1">
      <c r="A161" s="1" t="s">
        <v>539</v>
      </c>
      <c r="B161" s="4">
        <v>45714.0</v>
      </c>
      <c r="C161" s="1" t="s">
        <v>240</v>
      </c>
      <c r="D161" s="1" t="s">
        <v>23</v>
      </c>
      <c r="E161" s="1" t="s">
        <v>24</v>
      </c>
      <c r="F161" s="1" t="s">
        <v>17</v>
      </c>
      <c r="G161" s="1" t="s">
        <v>40</v>
      </c>
      <c r="H161" s="1">
        <v>10.0</v>
      </c>
      <c r="I161" s="1" t="s">
        <v>540</v>
      </c>
      <c r="J161" s="5" t="s">
        <v>541</v>
      </c>
    </row>
    <row r="162" ht="15.75" customHeight="1">
      <c r="A162" s="1" t="s">
        <v>542</v>
      </c>
      <c r="B162" s="4">
        <v>45714.0</v>
      </c>
      <c r="C162" s="1" t="s">
        <v>103</v>
      </c>
      <c r="D162" s="1" t="s">
        <v>15</v>
      </c>
      <c r="E162" s="1" t="s">
        <v>175</v>
      </c>
      <c r="F162" s="1" t="s">
        <v>50</v>
      </c>
      <c r="G162" s="1" t="s">
        <v>40</v>
      </c>
      <c r="H162" s="1">
        <v>20.0</v>
      </c>
      <c r="I162" s="1" t="s">
        <v>543</v>
      </c>
      <c r="J162" s="1" t="s">
        <v>544</v>
      </c>
    </row>
    <row r="163" ht="15.75" customHeight="1">
      <c r="A163" s="1" t="s">
        <v>545</v>
      </c>
      <c r="B163" s="4">
        <v>45714.0</v>
      </c>
      <c r="C163" s="1" t="s">
        <v>454</v>
      </c>
      <c r="D163" s="1" t="s">
        <v>546</v>
      </c>
      <c r="E163" s="1" t="s">
        <v>48</v>
      </c>
      <c r="F163" s="1" t="s">
        <v>50</v>
      </c>
      <c r="G163" s="1" t="s">
        <v>190</v>
      </c>
      <c r="H163" s="1">
        <v>20.0</v>
      </c>
      <c r="I163" s="1" t="s">
        <v>547</v>
      </c>
      <c r="J163" s="5">
        <v>111797.0</v>
      </c>
    </row>
    <row r="164" ht="15.75" customHeight="1">
      <c r="A164" s="1" t="s">
        <v>548</v>
      </c>
      <c r="B164" s="4">
        <v>45714.0</v>
      </c>
      <c r="C164" s="1" t="s">
        <v>147</v>
      </c>
      <c r="D164" s="1" t="s">
        <v>15</v>
      </c>
      <c r="E164" s="1" t="s">
        <v>30</v>
      </c>
      <c r="F164" s="1" t="s">
        <v>31</v>
      </c>
      <c r="G164" s="1" t="s">
        <v>32</v>
      </c>
      <c r="H164" s="1">
        <v>1.0</v>
      </c>
      <c r="I164" s="1" t="s">
        <v>549</v>
      </c>
      <c r="J164" s="1" t="s">
        <v>549</v>
      </c>
    </row>
    <row r="165" ht="15.75" customHeight="1">
      <c r="A165" s="1" t="s">
        <v>550</v>
      </c>
      <c r="B165" s="4">
        <v>45714.0</v>
      </c>
      <c r="C165" s="1" t="s">
        <v>330</v>
      </c>
      <c r="D165" s="1" t="s">
        <v>23</v>
      </c>
      <c r="E165" s="1" t="s">
        <v>175</v>
      </c>
      <c r="F165" s="1" t="s">
        <v>50</v>
      </c>
      <c r="G165" s="1" t="s">
        <v>82</v>
      </c>
      <c r="H165" s="1">
        <v>1.0</v>
      </c>
      <c r="I165" s="1" t="s">
        <v>551</v>
      </c>
      <c r="J165" s="1" t="s">
        <v>551</v>
      </c>
    </row>
    <row r="166" ht="15.75" customHeight="1">
      <c r="A166" s="1" t="s">
        <v>552</v>
      </c>
      <c r="B166" s="4">
        <v>45715.0</v>
      </c>
      <c r="C166" s="1" t="s">
        <v>210</v>
      </c>
      <c r="D166" s="1" t="s">
        <v>15</v>
      </c>
      <c r="E166" s="1" t="s">
        <v>107</v>
      </c>
      <c r="F166" s="1" t="s">
        <v>50</v>
      </c>
      <c r="G166" s="1" t="s">
        <v>40</v>
      </c>
      <c r="H166" s="1">
        <v>1.0</v>
      </c>
      <c r="I166" s="1" t="s">
        <v>554</v>
      </c>
      <c r="J166" s="1" t="s">
        <v>555</v>
      </c>
    </row>
    <row r="167" ht="15.75" customHeight="1">
      <c r="A167" s="1" t="s">
        <v>557</v>
      </c>
      <c r="B167" s="4">
        <v>45715.0</v>
      </c>
      <c r="C167" s="1" t="s">
        <v>285</v>
      </c>
      <c r="D167" s="1" t="s">
        <v>15</v>
      </c>
      <c r="E167" s="1" t="s">
        <v>173</v>
      </c>
      <c r="F167" s="1" t="s">
        <v>31</v>
      </c>
      <c r="G167" s="1" t="s">
        <v>94</v>
      </c>
      <c r="H167" s="1">
        <v>2.0</v>
      </c>
      <c r="I167" s="1" t="s">
        <v>558</v>
      </c>
      <c r="J167" s="1" t="s">
        <v>560</v>
      </c>
    </row>
    <row r="168" ht="15.75" customHeight="1">
      <c r="A168" s="1" t="s">
        <v>561</v>
      </c>
      <c r="B168" s="4">
        <v>45715.0</v>
      </c>
      <c r="C168" s="1" t="s">
        <v>214</v>
      </c>
      <c r="D168" s="1" t="s">
        <v>23</v>
      </c>
      <c r="E168" s="1" t="s">
        <v>107</v>
      </c>
      <c r="F168" s="1" t="s">
        <v>50</v>
      </c>
      <c r="G168" s="1" t="s">
        <v>82</v>
      </c>
      <c r="H168" s="1">
        <v>5.0</v>
      </c>
      <c r="I168" s="1" t="s">
        <v>562</v>
      </c>
      <c r="J168" s="1" t="s">
        <v>563</v>
      </c>
    </row>
    <row r="169" ht="15.75" customHeight="1">
      <c r="A169" s="1" t="s">
        <v>564</v>
      </c>
      <c r="B169" s="4">
        <v>45715.0</v>
      </c>
      <c r="C169" s="1" t="s">
        <v>227</v>
      </c>
      <c r="D169" s="1" t="s">
        <v>23</v>
      </c>
      <c r="E169" s="1" t="s">
        <v>173</v>
      </c>
      <c r="F169" s="1" t="s">
        <v>31</v>
      </c>
      <c r="G169" s="1" t="s">
        <v>190</v>
      </c>
      <c r="H169" s="1">
        <v>1.0</v>
      </c>
      <c r="I169" s="1" t="s">
        <v>565</v>
      </c>
      <c r="J169" s="1" t="s">
        <v>566</v>
      </c>
    </row>
    <row r="170" ht="15.75" customHeight="1">
      <c r="A170" s="1" t="s">
        <v>567</v>
      </c>
      <c r="B170" s="4">
        <v>45716.0</v>
      </c>
      <c r="C170" s="1" t="s">
        <v>29</v>
      </c>
      <c r="D170" s="1" t="s">
        <v>23</v>
      </c>
      <c r="E170" s="1" t="s">
        <v>48</v>
      </c>
      <c r="F170" s="1" t="s">
        <v>50</v>
      </c>
      <c r="G170" s="1" t="s">
        <v>82</v>
      </c>
      <c r="H170" s="1">
        <v>1.0</v>
      </c>
      <c r="I170" s="1" t="s">
        <v>568</v>
      </c>
      <c r="J170" s="1" t="s">
        <v>568</v>
      </c>
    </row>
    <row r="171" ht="15.75" customHeight="1">
      <c r="A171" s="1" t="s">
        <v>569</v>
      </c>
      <c r="B171" s="4">
        <v>45716.0</v>
      </c>
      <c r="C171" s="1" t="s">
        <v>74</v>
      </c>
      <c r="D171" s="1" t="s">
        <v>47</v>
      </c>
      <c r="E171" s="1" t="s">
        <v>24</v>
      </c>
      <c r="F171" s="1" t="s">
        <v>17</v>
      </c>
      <c r="G171" s="1" t="s">
        <v>32</v>
      </c>
      <c r="H171" s="1">
        <v>2.0</v>
      </c>
      <c r="I171" s="1" t="s">
        <v>570</v>
      </c>
      <c r="J171" s="1" t="s">
        <v>571</v>
      </c>
    </row>
    <row r="172" ht="15.75" customHeight="1">
      <c r="A172" s="1" t="s">
        <v>572</v>
      </c>
      <c r="B172" s="4">
        <v>45716.0</v>
      </c>
      <c r="C172" s="1" t="s">
        <v>57</v>
      </c>
      <c r="D172" s="1" t="s">
        <v>15</v>
      </c>
      <c r="E172" s="1" t="s">
        <v>48</v>
      </c>
      <c r="F172" s="1" t="s">
        <v>50</v>
      </c>
      <c r="G172" s="1" t="s">
        <v>40</v>
      </c>
      <c r="H172" s="1">
        <v>1.0</v>
      </c>
      <c r="I172" s="1" t="s">
        <v>573</v>
      </c>
      <c r="J172" s="1" t="s">
        <v>574</v>
      </c>
    </row>
    <row r="173" ht="15.75" customHeight="1">
      <c r="A173" s="1" t="s">
        <v>575</v>
      </c>
      <c r="B173" s="4">
        <v>45716.0</v>
      </c>
      <c r="C173" s="1" t="s">
        <v>454</v>
      </c>
      <c r="D173" s="1" t="s">
        <v>47</v>
      </c>
      <c r="E173" s="1" t="s">
        <v>30</v>
      </c>
      <c r="F173" s="1" t="s">
        <v>31</v>
      </c>
      <c r="G173" s="1" t="s">
        <v>18</v>
      </c>
      <c r="H173" s="1">
        <v>5.0</v>
      </c>
      <c r="I173" s="1" t="s">
        <v>576</v>
      </c>
      <c r="J173" s="1" t="s">
        <v>577</v>
      </c>
    </row>
    <row r="174" ht="15.75" customHeight="1">
      <c r="A174" s="1" t="s">
        <v>578</v>
      </c>
      <c r="B174" s="4">
        <v>45717.0</v>
      </c>
      <c r="C174" s="1" t="s">
        <v>273</v>
      </c>
      <c r="D174" s="1" t="s">
        <v>38</v>
      </c>
      <c r="E174" s="1" t="s">
        <v>118</v>
      </c>
      <c r="F174" s="1" t="s">
        <v>77</v>
      </c>
      <c r="G174" s="1" t="s">
        <v>94</v>
      </c>
      <c r="H174" s="1">
        <v>5.0</v>
      </c>
      <c r="I174" s="1" t="s">
        <v>579</v>
      </c>
      <c r="J174" s="1" t="s">
        <v>580</v>
      </c>
    </row>
    <row r="175" ht="15.75" customHeight="1">
      <c r="A175" s="1" t="s">
        <v>581</v>
      </c>
      <c r="B175" s="4">
        <v>45717.0</v>
      </c>
      <c r="C175" s="1" t="s">
        <v>93</v>
      </c>
      <c r="D175" s="1" t="s">
        <v>23</v>
      </c>
      <c r="E175" s="1" t="s">
        <v>48</v>
      </c>
      <c r="F175" s="1" t="s">
        <v>50</v>
      </c>
      <c r="G175" s="1" t="s">
        <v>94</v>
      </c>
      <c r="H175" s="1">
        <v>2.0</v>
      </c>
      <c r="I175" s="1" t="s">
        <v>582</v>
      </c>
      <c r="J175" s="1" t="s">
        <v>583</v>
      </c>
    </row>
    <row r="176" ht="15.75" customHeight="1">
      <c r="A176" s="1" t="s">
        <v>584</v>
      </c>
      <c r="B176" s="4">
        <v>45717.0</v>
      </c>
      <c r="C176" s="1" t="s">
        <v>117</v>
      </c>
      <c r="D176" s="1" t="s">
        <v>23</v>
      </c>
      <c r="E176" s="1" t="s">
        <v>173</v>
      </c>
      <c r="F176" s="1" t="s">
        <v>31</v>
      </c>
      <c r="G176" s="1" t="s">
        <v>18</v>
      </c>
      <c r="H176" s="1">
        <v>5.0</v>
      </c>
      <c r="I176" s="1" t="s">
        <v>585</v>
      </c>
      <c r="J176" s="1" t="s">
        <v>586</v>
      </c>
    </row>
    <row r="177" ht="15.75" customHeight="1">
      <c r="A177" s="1" t="s">
        <v>587</v>
      </c>
      <c r="B177" s="4">
        <v>45717.0</v>
      </c>
      <c r="C177" s="1" t="s">
        <v>74</v>
      </c>
      <c r="D177" s="1" t="s">
        <v>23</v>
      </c>
      <c r="E177" s="1" t="s">
        <v>24</v>
      </c>
      <c r="F177" s="1" t="s">
        <v>17</v>
      </c>
      <c r="G177" s="1" t="s">
        <v>82</v>
      </c>
      <c r="H177" s="1">
        <v>2.0</v>
      </c>
      <c r="I177" s="1" t="s">
        <v>588</v>
      </c>
      <c r="J177" s="1" t="s">
        <v>589</v>
      </c>
    </row>
    <row r="178" ht="15.75" customHeight="1">
      <c r="A178" s="1" t="s">
        <v>590</v>
      </c>
      <c r="B178" s="4">
        <v>45717.0</v>
      </c>
      <c r="C178" s="1" t="s">
        <v>81</v>
      </c>
      <c r="D178" s="1" t="s">
        <v>58</v>
      </c>
      <c r="E178" s="1" t="s">
        <v>16</v>
      </c>
      <c r="F178" s="1" t="s">
        <v>17</v>
      </c>
      <c r="G178" s="1" t="s">
        <v>32</v>
      </c>
      <c r="H178" s="1">
        <v>1.0</v>
      </c>
      <c r="I178" s="1" t="s">
        <v>591</v>
      </c>
      <c r="J178" s="1" t="s">
        <v>591</v>
      </c>
    </row>
    <row r="179" ht="15.75" customHeight="1">
      <c r="A179" s="1" t="s">
        <v>592</v>
      </c>
      <c r="B179" s="4">
        <v>45717.0</v>
      </c>
      <c r="C179" s="1" t="s">
        <v>97</v>
      </c>
      <c r="D179" s="1" t="s">
        <v>47</v>
      </c>
      <c r="E179" s="1" t="s">
        <v>16</v>
      </c>
      <c r="F179" s="1" t="s">
        <v>17</v>
      </c>
      <c r="G179" s="1" t="s">
        <v>40</v>
      </c>
      <c r="H179" s="1">
        <v>2.0</v>
      </c>
      <c r="I179" s="1" t="s">
        <v>593</v>
      </c>
      <c r="J179" s="1" t="s">
        <v>594</v>
      </c>
    </row>
    <row r="180" ht="15.75" customHeight="1">
      <c r="A180" s="1" t="s">
        <v>595</v>
      </c>
      <c r="B180" s="4">
        <v>45718.0</v>
      </c>
      <c r="C180" s="1" t="s">
        <v>155</v>
      </c>
      <c r="D180" s="1" t="s">
        <v>15</v>
      </c>
      <c r="E180" s="1" t="s">
        <v>16</v>
      </c>
      <c r="F180" s="1" t="s">
        <v>17</v>
      </c>
      <c r="G180" s="1" t="s">
        <v>32</v>
      </c>
      <c r="H180" s="1">
        <v>2.0</v>
      </c>
      <c r="I180" s="1" t="s">
        <v>596</v>
      </c>
      <c r="J180" s="1" t="s">
        <v>597</v>
      </c>
    </row>
    <row r="181" ht="15.75" customHeight="1">
      <c r="A181" s="1" t="s">
        <v>598</v>
      </c>
      <c r="B181" s="4">
        <v>45718.0</v>
      </c>
      <c r="C181" s="1" t="s">
        <v>135</v>
      </c>
      <c r="D181" s="1" t="s">
        <v>47</v>
      </c>
      <c r="E181" s="1" t="s">
        <v>173</v>
      </c>
      <c r="F181" s="1" t="s">
        <v>31</v>
      </c>
      <c r="G181" s="1" t="s">
        <v>18</v>
      </c>
      <c r="H181" s="1">
        <v>1.0</v>
      </c>
      <c r="I181" s="1" t="s">
        <v>599</v>
      </c>
      <c r="J181" s="1" t="s">
        <v>600</v>
      </c>
    </row>
    <row r="182" ht="15.75" customHeight="1">
      <c r="A182" s="1" t="s">
        <v>601</v>
      </c>
      <c r="B182" s="4">
        <v>45719.0</v>
      </c>
      <c r="C182" s="1" t="s">
        <v>345</v>
      </c>
      <c r="D182" s="1" t="s">
        <v>15</v>
      </c>
      <c r="E182" s="1" t="s">
        <v>76</v>
      </c>
      <c r="F182" s="1" t="s">
        <v>77</v>
      </c>
      <c r="G182" s="1" t="s">
        <v>82</v>
      </c>
      <c r="H182" s="1">
        <v>20.0</v>
      </c>
      <c r="I182" s="1" t="s">
        <v>602</v>
      </c>
      <c r="J182" s="1" t="s">
        <v>603</v>
      </c>
    </row>
    <row r="183" ht="15.75" customHeight="1">
      <c r="A183" s="1" t="s">
        <v>604</v>
      </c>
      <c r="B183" s="4">
        <v>45719.0</v>
      </c>
      <c r="C183" s="1" t="s">
        <v>89</v>
      </c>
      <c r="D183" s="1" t="s">
        <v>15</v>
      </c>
      <c r="E183" s="1" t="s">
        <v>76</v>
      </c>
      <c r="F183" s="1" t="s">
        <v>77</v>
      </c>
      <c r="G183" s="1" t="s">
        <v>32</v>
      </c>
      <c r="H183" s="1">
        <v>1.0</v>
      </c>
      <c r="I183" s="1" t="s">
        <v>605</v>
      </c>
      <c r="J183" s="1" t="s">
        <v>605</v>
      </c>
    </row>
    <row r="184" ht="15.75" customHeight="1">
      <c r="A184" s="1" t="s">
        <v>606</v>
      </c>
      <c r="B184" s="4">
        <v>45719.0</v>
      </c>
      <c r="C184" s="1" t="s">
        <v>351</v>
      </c>
      <c r="D184" s="1" t="s">
        <v>23</v>
      </c>
      <c r="E184" s="1" t="s">
        <v>16</v>
      </c>
      <c r="F184" s="1" t="s">
        <v>17</v>
      </c>
      <c r="G184" s="1" t="s">
        <v>40</v>
      </c>
      <c r="H184" s="1">
        <v>5.0</v>
      </c>
      <c r="I184" s="1" t="s">
        <v>607</v>
      </c>
      <c r="J184" s="1" t="s">
        <v>608</v>
      </c>
    </row>
    <row r="185" ht="15.75" customHeight="1">
      <c r="A185" s="1" t="s">
        <v>609</v>
      </c>
      <c r="B185" s="4">
        <v>45719.0</v>
      </c>
      <c r="C185" s="1" t="s">
        <v>29</v>
      </c>
      <c r="D185" s="1" t="s">
        <v>23</v>
      </c>
      <c r="E185" s="1" t="s">
        <v>107</v>
      </c>
      <c r="F185" s="1" t="s">
        <v>50</v>
      </c>
      <c r="G185" s="1" t="s">
        <v>190</v>
      </c>
      <c r="H185" s="1">
        <v>10.0</v>
      </c>
      <c r="I185" s="1" t="s">
        <v>610</v>
      </c>
      <c r="J185" s="1" t="s">
        <v>611</v>
      </c>
    </row>
    <row r="186" ht="15.75" customHeight="1">
      <c r="A186" s="1" t="s">
        <v>612</v>
      </c>
      <c r="B186" s="4">
        <v>45720.0</v>
      </c>
      <c r="C186" s="1" t="s">
        <v>199</v>
      </c>
      <c r="D186" s="1" t="s">
        <v>15</v>
      </c>
      <c r="E186" s="1" t="s">
        <v>173</v>
      </c>
      <c r="F186" s="1" t="s">
        <v>31</v>
      </c>
      <c r="G186" s="1" t="s">
        <v>32</v>
      </c>
      <c r="H186" s="1">
        <v>1.0</v>
      </c>
      <c r="I186" s="1" t="s">
        <v>613</v>
      </c>
      <c r="J186" s="1" t="s">
        <v>614</v>
      </c>
    </row>
    <row r="187" ht="15.75" customHeight="1">
      <c r="A187" s="1" t="s">
        <v>615</v>
      </c>
      <c r="B187" s="4">
        <v>45721.0</v>
      </c>
      <c r="C187" s="1" t="s">
        <v>189</v>
      </c>
      <c r="D187" s="1" t="s">
        <v>47</v>
      </c>
      <c r="E187" s="1" t="s">
        <v>67</v>
      </c>
      <c r="F187" s="1" t="s">
        <v>31</v>
      </c>
      <c r="G187" s="1" t="s">
        <v>190</v>
      </c>
      <c r="H187" s="1">
        <v>2.0</v>
      </c>
      <c r="I187" s="1" t="s">
        <v>616</v>
      </c>
      <c r="J187" s="1" t="s">
        <v>617</v>
      </c>
    </row>
    <row r="188" ht="15.75" customHeight="1">
      <c r="A188" s="1" t="s">
        <v>618</v>
      </c>
      <c r="B188" s="4">
        <v>45721.0</v>
      </c>
      <c r="C188" s="1" t="s">
        <v>81</v>
      </c>
      <c r="D188" s="1" t="s">
        <v>23</v>
      </c>
      <c r="E188" s="1" t="s">
        <v>173</v>
      </c>
      <c r="F188" s="1" t="s">
        <v>31</v>
      </c>
      <c r="G188" s="1" t="s">
        <v>32</v>
      </c>
      <c r="H188" s="1">
        <v>10.0</v>
      </c>
      <c r="I188" s="1" t="s">
        <v>619</v>
      </c>
      <c r="J188" s="1" t="s">
        <v>620</v>
      </c>
    </row>
    <row r="189" ht="15.75" customHeight="1">
      <c r="A189" s="1" t="s">
        <v>621</v>
      </c>
      <c r="B189" s="4">
        <v>45721.0</v>
      </c>
      <c r="C189" s="1" t="s">
        <v>97</v>
      </c>
      <c r="D189" s="1" t="s">
        <v>15</v>
      </c>
      <c r="E189" s="1" t="s">
        <v>173</v>
      </c>
      <c r="F189" s="1" t="s">
        <v>31</v>
      </c>
      <c r="G189" s="1" t="s">
        <v>94</v>
      </c>
      <c r="H189" s="1">
        <v>2.0</v>
      </c>
      <c r="I189" s="1" t="s">
        <v>622</v>
      </c>
      <c r="J189" s="1" t="s">
        <v>623</v>
      </c>
    </row>
    <row r="190" ht="15.75" customHeight="1">
      <c r="A190" s="1" t="s">
        <v>624</v>
      </c>
      <c r="B190" s="4">
        <v>45722.0</v>
      </c>
      <c r="C190" s="1" t="s">
        <v>89</v>
      </c>
      <c r="D190" s="1" t="s">
        <v>23</v>
      </c>
      <c r="E190" s="1" t="s">
        <v>24</v>
      </c>
      <c r="F190" s="1" t="s">
        <v>17</v>
      </c>
      <c r="G190" s="1" t="s">
        <v>40</v>
      </c>
      <c r="H190" s="1">
        <v>5.0</v>
      </c>
      <c r="I190" s="1" t="s">
        <v>625</v>
      </c>
      <c r="J190" s="1" t="s">
        <v>626</v>
      </c>
    </row>
    <row r="191" ht="15.75" customHeight="1">
      <c r="A191" s="1" t="s">
        <v>627</v>
      </c>
      <c r="B191" s="4">
        <v>45722.0</v>
      </c>
      <c r="C191" s="1" t="s">
        <v>345</v>
      </c>
      <c r="D191" s="1" t="s">
        <v>15</v>
      </c>
      <c r="E191" s="1" t="s">
        <v>76</v>
      </c>
      <c r="F191" s="1" t="s">
        <v>77</v>
      </c>
      <c r="G191" s="1" t="s">
        <v>32</v>
      </c>
      <c r="H191" s="1">
        <v>2.0</v>
      </c>
      <c r="I191" s="1" t="s">
        <v>628</v>
      </c>
      <c r="J191" s="1" t="s">
        <v>629</v>
      </c>
    </row>
    <row r="192" ht="15.75" customHeight="1">
      <c r="A192" s="1" t="s">
        <v>630</v>
      </c>
      <c r="B192" s="4">
        <v>45723.0</v>
      </c>
      <c r="C192" s="1" t="s">
        <v>43</v>
      </c>
      <c r="D192" s="1" t="s">
        <v>23</v>
      </c>
      <c r="E192" s="1" t="s">
        <v>16</v>
      </c>
      <c r="F192" s="1" t="s">
        <v>17</v>
      </c>
      <c r="G192" s="1" t="s">
        <v>40</v>
      </c>
      <c r="H192" s="1">
        <v>1.0</v>
      </c>
      <c r="I192" s="1" t="s">
        <v>631</v>
      </c>
      <c r="J192" s="1" t="s">
        <v>631</v>
      </c>
    </row>
    <row r="193" ht="15.75" customHeight="1">
      <c r="A193" s="1" t="s">
        <v>632</v>
      </c>
      <c r="B193" s="4">
        <v>45724.0</v>
      </c>
      <c r="C193" s="1" t="s">
        <v>158</v>
      </c>
      <c r="D193" s="1" t="s">
        <v>23</v>
      </c>
      <c r="E193" s="1" t="s">
        <v>173</v>
      </c>
      <c r="F193" s="1" t="s">
        <v>31</v>
      </c>
      <c r="G193" s="1" t="s">
        <v>82</v>
      </c>
      <c r="H193" s="1">
        <v>1.0</v>
      </c>
      <c r="I193" s="1" t="s">
        <v>633</v>
      </c>
      <c r="J193" s="1" t="s">
        <v>633</v>
      </c>
    </row>
    <row r="194" ht="15.75" customHeight="1">
      <c r="A194" s="1" t="s">
        <v>634</v>
      </c>
      <c r="B194" s="4">
        <v>45724.0</v>
      </c>
      <c r="C194" s="1" t="s">
        <v>454</v>
      </c>
      <c r="D194" s="1" t="s">
        <v>47</v>
      </c>
      <c r="E194" s="1" t="s">
        <v>107</v>
      </c>
      <c r="F194" s="1" t="s">
        <v>50</v>
      </c>
      <c r="G194" s="1" t="s">
        <v>32</v>
      </c>
      <c r="H194" s="1">
        <v>5.0</v>
      </c>
      <c r="I194" s="1" t="s">
        <v>635</v>
      </c>
      <c r="J194" s="19">
        <v>98008.0</v>
      </c>
    </row>
    <row r="195" ht="15.75" customHeight="1">
      <c r="A195" s="1" t="s">
        <v>636</v>
      </c>
      <c r="B195" s="4">
        <v>45724.0</v>
      </c>
      <c r="C195" s="1" t="s">
        <v>273</v>
      </c>
      <c r="D195" s="1" t="s">
        <v>23</v>
      </c>
      <c r="E195" s="1" t="s">
        <v>175</v>
      </c>
      <c r="F195" s="1" t="s">
        <v>50</v>
      </c>
      <c r="G195" s="1" t="s">
        <v>18</v>
      </c>
      <c r="H195" s="1">
        <v>1.0</v>
      </c>
      <c r="I195" s="1" t="s">
        <v>637</v>
      </c>
      <c r="J195" s="1" t="s">
        <v>637</v>
      </c>
    </row>
    <row r="196" ht="15.75" customHeight="1">
      <c r="A196" s="1" t="s">
        <v>638</v>
      </c>
      <c r="B196" s="4">
        <v>45725.0</v>
      </c>
      <c r="C196" s="1" t="s">
        <v>336</v>
      </c>
      <c r="D196" s="1" t="s">
        <v>47</v>
      </c>
      <c r="E196" s="1" t="s">
        <v>173</v>
      </c>
      <c r="F196" s="1" t="s">
        <v>31</v>
      </c>
      <c r="G196" s="1" t="s">
        <v>32</v>
      </c>
      <c r="H196" s="1">
        <v>1.0</v>
      </c>
      <c r="I196" s="1" t="s">
        <v>639</v>
      </c>
      <c r="J196" s="1" t="s">
        <v>640</v>
      </c>
    </row>
    <row r="197" ht="15.75" customHeight="1">
      <c r="A197" s="1" t="s">
        <v>641</v>
      </c>
      <c r="B197" s="4">
        <v>45725.0</v>
      </c>
      <c r="C197" s="1" t="s">
        <v>46</v>
      </c>
      <c r="D197" s="1" t="s">
        <v>23</v>
      </c>
      <c r="E197" s="1" t="s">
        <v>30</v>
      </c>
      <c r="F197" s="1" t="s">
        <v>31</v>
      </c>
      <c r="G197" s="1" t="s">
        <v>40</v>
      </c>
      <c r="H197" s="1">
        <v>5.0</v>
      </c>
      <c r="I197" s="1" t="s">
        <v>642</v>
      </c>
      <c r="J197" s="1" t="s">
        <v>643</v>
      </c>
    </row>
    <row r="198" ht="15.75" customHeight="1">
      <c r="A198" s="1" t="s">
        <v>644</v>
      </c>
      <c r="B198" s="4">
        <v>45725.0</v>
      </c>
      <c r="C198" s="1" t="s">
        <v>89</v>
      </c>
      <c r="D198" s="1" t="s">
        <v>15</v>
      </c>
      <c r="E198" s="1" t="s">
        <v>24</v>
      </c>
      <c r="F198" s="1" t="s">
        <v>17</v>
      </c>
      <c r="G198" s="1" t="s">
        <v>82</v>
      </c>
      <c r="H198" s="1">
        <v>2.0</v>
      </c>
      <c r="I198" s="1" t="s">
        <v>645</v>
      </c>
      <c r="J198" s="1" t="s">
        <v>646</v>
      </c>
    </row>
    <row r="199" ht="15.75" customHeight="1">
      <c r="A199" s="1" t="s">
        <v>647</v>
      </c>
      <c r="B199" s="4">
        <v>45726.0</v>
      </c>
      <c r="C199" s="1" t="s">
        <v>22</v>
      </c>
      <c r="D199" s="1" t="s">
        <v>15</v>
      </c>
      <c r="E199" s="1" t="s">
        <v>76</v>
      </c>
      <c r="F199" s="1" t="s">
        <v>77</v>
      </c>
      <c r="G199" s="1" t="s">
        <v>32</v>
      </c>
      <c r="H199" s="1">
        <v>2.0</v>
      </c>
      <c r="I199" s="1" t="s">
        <v>648</v>
      </c>
      <c r="J199" s="1" t="s">
        <v>649</v>
      </c>
    </row>
    <row r="200" ht="15.75" customHeight="1">
      <c r="A200" s="1" t="s">
        <v>650</v>
      </c>
      <c r="B200" s="4">
        <v>45727.0</v>
      </c>
      <c r="C200" s="1" t="s">
        <v>22</v>
      </c>
      <c r="D200" s="1" t="s">
        <v>15</v>
      </c>
      <c r="E200" s="1" t="s">
        <v>173</v>
      </c>
      <c r="F200" s="1" t="s">
        <v>31</v>
      </c>
      <c r="G200" s="1" t="s">
        <v>82</v>
      </c>
      <c r="H200" s="1">
        <v>5.0</v>
      </c>
      <c r="I200" s="1" t="s">
        <v>651</v>
      </c>
      <c r="J200" s="1" t="s">
        <v>652</v>
      </c>
    </row>
    <row r="201" ht="15.75" customHeight="1">
      <c r="A201" s="1" t="s">
        <v>653</v>
      </c>
      <c r="B201" s="4">
        <v>45727.0</v>
      </c>
      <c r="C201" s="1" t="s">
        <v>14</v>
      </c>
      <c r="D201" s="1" t="s">
        <v>15</v>
      </c>
      <c r="E201" s="1" t="s">
        <v>173</v>
      </c>
      <c r="F201" s="1" t="s">
        <v>31</v>
      </c>
      <c r="G201" s="1" t="s">
        <v>40</v>
      </c>
      <c r="H201" s="1">
        <v>2.0</v>
      </c>
      <c r="I201" s="1" t="s">
        <v>654</v>
      </c>
      <c r="J201" s="1" t="s">
        <v>655</v>
      </c>
    </row>
    <row r="202" ht="15.75" customHeight="1">
      <c r="A202" s="1" t="s">
        <v>656</v>
      </c>
      <c r="B202" s="4">
        <v>45728.0</v>
      </c>
      <c r="C202" s="1" t="s">
        <v>348</v>
      </c>
      <c r="D202" s="1" t="s">
        <v>47</v>
      </c>
      <c r="E202" s="1" t="s">
        <v>30</v>
      </c>
      <c r="F202" s="1" t="s">
        <v>31</v>
      </c>
      <c r="G202" s="1" t="s">
        <v>18</v>
      </c>
      <c r="H202" s="1">
        <v>1.0</v>
      </c>
      <c r="I202" s="1" t="s">
        <v>657</v>
      </c>
      <c r="J202" s="1" t="s">
        <v>658</v>
      </c>
    </row>
    <row r="203" ht="15.75" customHeight="1">
      <c r="A203" s="1" t="s">
        <v>659</v>
      </c>
      <c r="B203" s="4">
        <v>45728.0</v>
      </c>
      <c r="C203" s="1" t="s">
        <v>74</v>
      </c>
      <c r="D203" s="1" t="s">
        <v>47</v>
      </c>
      <c r="E203" s="1" t="s">
        <v>175</v>
      </c>
      <c r="F203" s="1" t="s">
        <v>50</v>
      </c>
      <c r="G203" s="1" t="s">
        <v>18</v>
      </c>
      <c r="H203" s="1">
        <v>20.0</v>
      </c>
      <c r="I203" s="1" t="s">
        <v>660</v>
      </c>
      <c r="J203" s="1" t="s">
        <v>661</v>
      </c>
    </row>
    <row r="204" ht="15.75" customHeight="1">
      <c r="A204" s="1" t="s">
        <v>662</v>
      </c>
      <c r="B204" s="4">
        <v>45728.0</v>
      </c>
      <c r="C204" s="1" t="s">
        <v>464</v>
      </c>
      <c r="D204" s="1" t="s">
        <v>128</v>
      </c>
      <c r="E204" s="1" t="s">
        <v>24</v>
      </c>
      <c r="F204" s="1" t="s">
        <v>17</v>
      </c>
      <c r="G204" s="1" t="s">
        <v>40</v>
      </c>
      <c r="H204" s="1">
        <v>10.0</v>
      </c>
      <c r="I204" s="1" t="s">
        <v>663</v>
      </c>
      <c r="J204" s="1" t="s">
        <v>664</v>
      </c>
    </row>
    <row r="205" ht="15.75" customHeight="1">
      <c r="A205" s="1" t="s">
        <v>665</v>
      </c>
      <c r="B205" s="4">
        <v>45728.0</v>
      </c>
      <c r="C205" s="1" t="s">
        <v>111</v>
      </c>
      <c r="D205" s="1" t="s">
        <v>58</v>
      </c>
      <c r="E205" s="1" t="s">
        <v>67</v>
      </c>
      <c r="F205" s="1" t="s">
        <v>31</v>
      </c>
      <c r="G205" s="1" t="s">
        <v>32</v>
      </c>
      <c r="H205" s="1">
        <v>20.0</v>
      </c>
      <c r="I205" s="1" t="s">
        <v>666</v>
      </c>
      <c r="J205" s="1" t="s">
        <v>667</v>
      </c>
    </row>
    <row r="206" ht="15.75" customHeight="1">
      <c r="A206" s="1" t="s">
        <v>668</v>
      </c>
      <c r="B206" s="4">
        <v>45729.0</v>
      </c>
      <c r="C206" s="1" t="s">
        <v>351</v>
      </c>
      <c r="D206" s="1" t="s">
        <v>15</v>
      </c>
      <c r="E206" s="1" t="s">
        <v>173</v>
      </c>
      <c r="F206" s="1" t="s">
        <v>31</v>
      </c>
      <c r="G206" s="1" t="s">
        <v>82</v>
      </c>
      <c r="H206" s="1">
        <v>1.0</v>
      </c>
      <c r="I206" s="1" t="s">
        <v>669</v>
      </c>
      <c r="J206" s="1" t="s">
        <v>670</v>
      </c>
    </row>
    <row r="207" ht="15.75" customHeight="1">
      <c r="A207" s="1" t="s">
        <v>671</v>
      </c>
      <c r="B207" s="4">
        <v>45729.0</v>
      </c>
      <c r="C207" s="1" t="s">
        <v>97</v>
      </c>
      <c r="D207" s="1" t="s">
        <v>23</v>
      </c>
      <c r="E207" s="1" t="s">
        <v>30</v>
      </c>
      <c r="F207" s="1" t="s">
        <v>31</v>
      </c>
      <c r="G207" s="1" t="s">
        <v>231</v>
      </c>
      <c r="H207" s="1">
        <v>10.0</v>
      </c>
      <c r="I207" s="1" t="s">
        <v>672</v>
      </c>
      <c r="J207" s="5" t="s">
        <v>673</v>
      </c>
    </row>
    <row r="208" ht="15.75" customHeight="1">
      <c r="A208" s="1" t="s">
        <v>674</v>
      </c>
      <c r="B208" s="4">
        <v>45729.0</v>
      </c>
      <c r="C208" s="1" t="s">
        <v>189</v>
      </c>
      <c r="D208" s="1" t="s">
        <v>15</v>
      </c>
      <c r="E208" s="1" t="s">
        <v>173</v>
      </c>
      <c r="F208" s="1" t="s">
        <v>31</v>
      </c>
      <c r="G208" s="1" t="s">
        <v>18</v>
      </c>
      <c r="H208" s="1">
        <v>2.0</v>
      </c>
      <c r="I208" s="1" t="s">
        <v>675</v>
      </c>
      <c r="J208" s="1" t="s">
        <v>676</v>
      </c>
    </row>
    <row r="209" ht="15.75" customHeight="1">
      <c r="A209" s="1" t="s">
        <v>677</v>
      </c>
      <c r="B209" s="4">
        <v>45729.0</v>
      </c>
      <c r="C209" s="1" t="s">
        <v>348</v>
      </c>
      <c r="D209" s="1" t="s">
        <v>47</v>
      </c>
      <c r="E209" s="1" t="s">
        <v>16</v>
      </c>
      <c r="F209" s="1" t="s">
        <v>17</v>
      </c>
      <c r="G209" s="1" t="s">
        <v>40</v>
      </c>
      <c r="H209" s="1">
        <v>1.0</v>
      </c>
      <c r="I209" s="1" t="s">
        <v>678</v>
      </c>
      <c r="J209" s="1" t="s">
        <v>678</v>
      </c>
    </row>
    <row r="210" ht="15.75" customHeight="1">
      <c r="A210" s="1" t="s">
        <v>679</v>
      </c>
      <c r="B210" s="4">
        <v>45730.0</v>
      </c>
      <c r="C210" s="1" t="s">
        <v>246</v>
      </c>
      <c r="D210" s="1" t="s">
        <v>58</v>
      </c>
      <c r="E210" s="1" t="s">
        <v>30</v>
      </c>
      <c r="F210" s="1" t="s">
        <v>31</v>
      </c>
      <c r="G210" s="1" t="s">
        <v>82</v>
      </c>
      <c r="H210" s="1">
        <v>1.0</v>
      </c>
      <c r="I210" s="1" t="s">
        <v>680</v>
      </c>
      <c r="J210" s="1" t="s">
        <v>680</v>
      </c>
    </row>
    <row r="211" ht="15.75" customHeight="1">
      <c r="A211" s="1" t="s">
        <v>681</v>
      </c>
      <c r="B211" s="4">
        <v>45730.0</v>
      </c>
      <c r="C211" s="1" t="s">
        <v>103</v>
      </c>
      <c r="D211" s="1" t="s">
        <v>23</v>
      </c>
      <c r="E211" s="1" t="s">
        <v>24</v>
      </c>
      <c r="F211" s="1" t="s">
        <v>17</v>
      </c>
      <c r="G211" s="1" t="s">
        <v>32</v>
      </c>
      <c r="H211" s="1">
        <v>1.0</v>
      </c>
      <c r="I211" s="1" t="s">
        <v>682</v>
      </c>
      <c r="J211" s="1" t="s">
        <v>682</v>
      </c>
    </row>
    <row r="212" ht="15.75" customHeight="1">
      <c r="A212" s="1" t="s">
        <v>683</v>
      </c>
      <c r="B212" s="4">
        <v>45731.0</v>
      </c>
      <c r="C212" s="1" t="s">
        <v>74</v>
      </c>
      <c r="D212" s="1" t="s">
        <v>23</v>
      </c>
      <c r="E212" s="1" t="s">
        <v>16</v>
      </c>
      <c r="F212" s="1" t="s">
        <v>17</v>
      </c>
      <c r="G212" s="1" t="s">
        <v>82</v>
      </c>
      <c r="H212" s="1">
        <v>2.0</v>
      </c>
      <c r="I212" s="1" t="s">
        <v>684</v>
      </c>
      <c r="J212" s="1" t="s">
        <v>685</v>
      </c>
    </row>
    <row r="213" ht="15.75" customHeight="1">
      <c r="A213" s="1" t="s">
        <v>686</v>
      </c>
      <c r="B213" s="4">
        <v>45731.0</v>
      </c>
      <c r="C213" s="1" t="s">
        <v>330</v>
      </c>
      <c r="D213" s="1" t="s">
        <v>23</v>
      </c>
      <c r="E213" s="1" t="s">
        <v>142</v>
      </c>
      <c r="F213" s="1" t="s">
        <v>77</v>
      </c>
      <c r="G213" s="1" t="s">
        <v>40</v>
      </c>
      <c r="H213" s="1">
        <v>1.0</v>
      </c>
      <c r="I213" s="1" t="s">
        <v>687</v>
      </c>
      <c r="J213" s="1" t="s">
        <v>688</v>
      </c>
    </row>
    <row r="214" ht="15.75" customHeight="1">
      <c r="A214" s="1" t="s">
        <v>689</v>
      </c>
      <c r="B214" s="4">
        <v>45732.0</v>
      </c>
      <c r="C214" s="1" t="s">
        <v>454</v>
      </c>
      <c r="D214" s="1" t="s">
        <v>38</v>
      </c>
      <c r="E214" s="1" t="s">
        <v>107</v>
      </c>
      <c r="F214" s="1" t="s">
        <v>50</v>
      </c>
      <c r="G214" s="1" t="s">
        <v>32</v>
      </c>
      <c r="H214" s="1">
        <v>20.0</v>
      </c>
      <c r="I214" s="1" t="s">
        <v>690</v>
      </c>
      <c r="J214" s="1" t="s">
        <v>691</v>
      </c>
    </row>
    <row r="215" ht="15.75" customHeight="1">
      <c r="A215" s="1" t="s">
        <v>692</v>
      </c>
      <c r="B215" s="4">
        <v>45732.0</v>
      </c>
      <c r="C215" s="1" t="s">
        <v>46</v>
      </c>
      <c r="D215" s="1" t="s">
        <v>15</v>
      </c>
      <c r="E215" s="1" t="s">
        <v>67</v>
      </c>
      <c r="F215" s="1" t="s">
        <v>31</v>
      </c>
      <c r="G215" s="1" t="s">
        <v>82</v>
      </c>
      <c r="H215" s="1">
        <v>10.0</v>
      </c>
      <c r="I215" s="1" t="s">
        <v>693</v>
      </c>
      <c r="J215" s="1" t="s">
        <v>694</v>
      </c>
    </row>
    <row r="216" ht="15.75" customHeight="1">
      <c r="A216" s="1" t="s">
        <v>695</v>
      </c>
      <c r="B216" s="4">
        <v>45733.0</v>
      </c>
      <c r="C216" s="1" t="s">
        <v>43</v>
      </c>
      <c r="D216" s="1" t="s">
        <v>128</v>
      </c>
      <c r="E216" s="1" t="s">
        <v>30</v>
      </c>
      <c r="F216" s="1" t="s">
        <v>31</v>
      </c>
      <c r="G216" s="1" t="s">
        <v>40</v>
      </c>
      <c r="H216" s="1">
        <v>2.0</v>
      </c>
      <c r="I216" s="1" t="s">
        <v>383</v>
      </c>
      <c r="J216" s="1" t="s">
        <v>696</v>
      </c>
    </row>
    <row r="217" ht="15.75" customHeight="1">
      <c r="A217" s="1" t="s">
        <v>697</v>
      </c>
      <c r="B217" s="4">
        <v>45733.0</v>
      </c>
      <c r="C217" s="1" t="s">
        <v>227</v>
      </c>
      <c r="D217" s="1" t="s">
        <v>47</v>
      </c>
      <c r="E217" s="1" t="s">
        <v>76</v>
      </c>
      <c r="F217" s="1" t="s">
        <v>77</v>
      </c>
      <c r="G217" s="1" t="s">
        <v>82</v>
      </c>
      <c r="H217" s="1">
        <v>1.0</v>
      </c>
      <c r="I217" s="1" t="s">
        <v>698</v>
      </c>
      <c r="J217" s="1" t="s">
        <v>698</v>
      </c>
    </row>
    <row r="218" ht="15.75" customHeight="1">
      <c r="A218" s="1" t="s">
        <v>699</v>
      </c>
      <c r="B218" s="4">
        <v>45733.0</v>
      </c>
      <c r="C218" s="1" t="s">
        <v>57</v>
      </c>
      <c r="D218" s="1" t="s">
        <v>38</v>
      </c>
      <c r="E218" s="1" t="s">
        <v>107</v>
      </c>
      <c r="F218" s="1" t="s">
        <v>50</v>
      </c>
      <c r="G218" s="1" t="s">
        <v>32</v>
      </c>
      <c r="H218" s="1">
        <v>1.0</v>
      </c>
      <c r="I218" s="1" t="s">
        <v>700</v>
      </c>
      <c r="J218" s="1" t="s">
        <v>700</v>
      </c>
    </row>
    <row r="219" ht="15.75" customHeight="1">
      <c r="A219" s="1" t="s">
        <v>701</v>
      </c>
      <c r="B219" s="4">
        <v>45733.0</v>
      </c>
      <c r="C219" s="1" t="s">
        <v>223</v>
      </c>
      <c r="D219" s="1" t="s">
        <v>15</v>
      </c>
      <c r="E219" s="1" t="s">
        <v>142</v>
      </c>
      <c r="F219" s="1" t="s">
        <v>77</v>
      </c>
      <c r="G219" s="1" t="s">
        <v>18</v>
      </c>
      <c r="H219" s="1">
        <v>2.0</v>
      </c>
      <c r="I219" s="1" t="s">
        <v>702</v>
      </c>
      <c r="J219" s="1" t="s">
        <v>703</v>
      </c>
    </row>
    <row r="220" ht="15.75" customHeight="1">
      <c r="A220" s="1" t="s">
        <v>704</v>
      </c>
      <c r="B220" s="4">
        <v>45733.0</v>
      </c>
      <c r="C220" s="1" t="s">
        <v>111</v>
      </c>
      <c r="D220" s="1" t="s">
        <v>15</v>
      </c>
      <c r="E220" s="1" t="s">
        <v>175</v>
      </c>
      <c r="F220" s="1" t="s">
        <v>50</v>
      </c>
      <c r="G220" s="1" t="s">
        <v>231</v>
      </c>
      <c r="H220" s="1">
        <v>1.0</v>
      </c>
      <c r="I220" s="1" t="s">
        <v>705</v>
      </c>
      <c r="J220" s="1" t="s">
        <v>706</v>
      </c>
    </row>
    <row r="221" ht="15.75" customHeight="1">
      <c r="A221" s="1" t="s">
        <v>707</v>
      </c>
      <c r="B221" s="4">
        <v>45734.0</v>
      </c>
      <c r="C221" s="1" t="s">
        <v>93</v>
      </c>
      <c r="D221" s="1" t="s">
        <v>15</v>
      </c>
      <c r="E221" s="1" t="s">
        <v>67</v>
      </c>
      <c r="F221" s="1" t="s">
        <v>31</v>
      </c>
      <c r="G221" s="1" t="s">
        <v>18</v>
      </c>
      <c r="H221" s="1">
        <v>5.0</v>
      </c>
      <c r="I221" s="1" t="s">
        <v>708</v>
      </c>
      <c r="J221" s="1" t="s">
        <v>709</v>
      </c>
    </row>
    <row r="222" ht="15.75" customHeight="1">
      <c r="A222" s="1" t="s">
        <v>710</v>
      </c>
      <c r="B222" s="4">
        <v>45734.0</v>
      </c>
      <c r="C222" s="1" t="s">
        <v>240</v>
      </c>
      <c r="D222" s="1" t="s">
        <v>15</v>
      </c>
      <c r="E222" s="1" t="s">
        <v>175</v>
      </c>
      <c r="F222" s="1" t="s">
        <v>50</v>
      </c>
      <c r="G222" s="1" t="s">
        <v>82</v>
      </c>
      <c r="H222" s="1">
        <v>2.0</v>
      </c>
      <c r="I222" s="1" t="s">
        <v>711</v>
      </c>
      <c r="J222" s="1" t="s">
        <v>712</v>
      </c>
    </row>
    <row r="223" ht="15.75" customHeight="1">
      <c r="A223" s="1" t="s">
        <v>713</v>
      </c>
      <c r="B223" s="4">
        <v>45735.0</v>
      </c>
      <c r="C223" s="1" t="s">
        <v>189</v>
      </c>
      <c r="D223" s="1" t="s">
        <v>58</v>
      </c>
      <c r="E223" s="1" t="s">
        <v>48</v>
      </c>
      <c r="F223" s="1" t="s">
        <v>50</v>
      </c>
      <c r="G223" s="1" t="s">
        <v>18</v>
      </c>
      <c r="H223" s="1">
        <v>2.0</v>
      </c>
      <c r="I223" s="5" t="s">
        <v>714</v>
      </c>
      <c r="J223" s="1" t="s">
        <v>715</v>
      </c>
    </row>
    <row r="224" ht="15.75" customHeight="1">
      <c r="A224" s="1" t="s">
        <v>716</v>
      </c>
      <c r="B224" s="4">
        <v>45735.0</v>
      </c>
      <c r="C224" s="1" t="s">
        <v>155</v>
      </c>
      <c r="D224" s="1" t="s">
        <v>38</v>
      </c>
      <c r="E224" s="1" t="s">
        <v>118</v>
      </c>
      <c r="F224" s="1" t="s">
        <v>77</v>
      </c>
      <c r="G224" s="1" t="s">
        <v>82</v>
      </c>
      <c r="H224" s="1">
        <v>10.0</v>
      </c>
      <c r="I224" s="1" t="s">
        <v>717</v>
      </c>
      <c r="J224" s="1" t="s">
        <v>718</v>
      </c>
    </row>
    <row r="225" ht="15.75" customHeight="1">
      <c r="A225" s="1" t="s">
        <v>719</v>
      </c>
      <c r="B225" s="4">
        <v>45735.0</v>
      </c>
      <c r="C225" s="1" t="s">
        <v>273</v>
      </c>
      <c r="D225" s="1" t="s">
        <v>23</v>
      </c>
      <c r="E225" s="1" t="s">
        <v>76</v>
      </c>
      <c r="F225" s="1" t="s">
        <v>77</v>
      </c>
      <c r="G225" s="1" t="s">
        <v>82</v>
      </c>
      <c r="H225" s="1">
        <v>1.0</v>
      </c>
      <c r="I225" s="1" t="s">
        <v>720</v>
      </c>
      <c r="J225" s="1" t="s">
        <v>720</v>
      </c>
    </row>
    <row r="226" ht="15.75" customHeight="1">
      <c r="A226" s="1" t="s">
        <v>721</v>
      </c>
      <c r="B226" s="4">
        <v>45736.0</v>
      </c>
      <c r="C226" s="1" t="s">
        <v>46</v>
      </c>
      <c r="D226" s="1" t="s">
        <v>128</v>
      </c>
      <c r="E226" s="1" t="s">
        <v>173</v>
      </c>
      <c r="F226" s="1" t="s">
        <v>31</v>
      </c>
      <c r="G226" s="1" t="s">
        <v>82</v>
      </c>
      <c r="H226" s="1">
        <v>5.0</v>
      </c>
      <c r="I226" s="1" t="s">
        <v>722</v>
      </c>
      <c r="J226" s="1" t="s">
        <v>723</v>
      </c>
    </row>
    <row r="227" ht="15.75" customHeight="1">
      <c r="A227" s="1" t="s">
        <v>724</v>
      </c>
      <c r="B227" s="4">
        <v>45736.0</v>
      </c>
      <c r="C227" s="1" t="s">
        <v>210</v>
      </c>
      <c r="D227" s="1" t="s">
        <v>47</v>
      </c>
      <c r="E227" s="1" t="s">
        <v>30</v>
      </c>
      <c r="F227" s="1" t="s">
        <v>31</v>
      </c>
      <c r="G227" s="1" t="s">
        <v>40</v>
      </c>
      <c r="H227" s="1">
        <v>2.0</v>
      </c>
      <c r="I227" s="1" t="s">
        <v>725</v>
      </c>
      <c r="J227" s="1" t="s">
        <v>726</v>
      </c>
    </row>
    <row r="228" ht="15.75" customHeight="1">
      <c r="A228" s="1" t="s">
        <v>727</v>
      </c>
      <c r="B228" s="4">
        <v>45736.0</v>
      </c>
      <c r="C228" s="1" t="s">
        <v>348</v>
      </c>
      <c r="D228" s="1" t="s">
        <v>15</v>
      </c>
      <c r="E228" s="1" t="s">
        <v>39</v>
      </c>
      <c r="F228" s="1" t="s">
        <v>17</v>
      </c>
      <c r="G228" s="1" t="s">
        <v>82</v>
      </c>
      <c r="H228" s="1">
        <v>5.0</v>
      </c>
      <c r="I228" s="1" t="s">
        <v>728</v>
      </c>
      <c r="J228" s="1" t="s">
        <v>729</v>
      </c>
    </row>
    <row r="229" ht="15.75" customHeight="1">
      <c r="A229" s="1" t="s">
        <v>730</v>
      </c>
      <c r="B229" s="4">
        <v>45736.0</v>
      </c>
      <c r="C229" s="1" t="s">
        <v>246</v>
      </c>
      <c r="D229" s="1" t="s">
        <v>128</v>
      </c>
      <c r="E229" s="1" t="s">
        <v>24</v>
      </c>
      <c r="F229" s="1" t="s">
        <v>17</v>
      </c>
      <c r="G229" s="1" t="s">
        <v>82</v>
      </c>
      <c r="H229" s="1">
        <v>1.0</v>
      </c>
      <c r="I229" s="1" t="s">
        <v>731</v>
      </c>
      <c r="J229" s="1" t="s">
        <v>731</v>
      </c>
    </row>
    <row r="230" ht="15.75" customHeight="1">
      <c r="A230" s="1" t="s">
        <v>732</v>
      </c>
      <c r="B230" s="4">
        <v>45737.0</v>
      </c>
      <c r="C230" s="1" t="s">
        <v>65</v>
      </c>
      <c r="D230" s="1" t="s">
        <v>23</v>
      </c>
      <c r="E230" s="1" t="s">
        <v>173</v>
      </c>
      <c r="F230" s="1" t="s">
        <v>31</v>
      </c>
      <c r="G230" s="1" t="s">
        <v>82</v>
      </c>
      <c r="H230" s="1">
        <v>1.0</v>
      </c>
      <c r="I230" s="1" t="s">
        <v>733</v>
      </c>
      <c r="J230" s="1" t="s">
        <v>733</v>
      </c>
    </row>
    <row r="231" ht="15.75" customHeight="1">
      <c r="A231" s="1" t="s">
        <v>734</v>
      </c>
      <c r="B231" s="4">
        <v>45737.0</v>
      </c>
      <c r="C231" s="1" t="s">
        <v>189</v>
      </c>
      <c r="D231" s="1" t="s">
        <v>23</v>
      </c>
      <c r="E231" s="1" t="s">
        <v>173</v>
      </c>
      <c r="F231" s="1" t="s">
        <v>31</v>
      </c>
      <c r="G231" s="1" t="s">
        <v>82</v>
      </c>
      <c r="H231" s="1">
        <v>2.0</v>
      </c>
      <c r="I231" s="1" t="s">
        <v>735</v>
      </c>
      <c r="J231" s="1" t="s">
        <v>736</v>
      </c>
    </row>
    <row r="232" ht="15.75" customHeight="1">
      <c r="A232" s="1" t="s">
        <v>737</v>
      </c>
      <c r="B232" s="4">
        <v>45738.0</v>
      </c>
      <c r="C232" s="1" t="s">
        <v>199</v>
      </c>
      <c r="D232" s="1" t="s">
        <v>38</v>
      </c>
      <c r="E232" s="1" t="s">
        <v>16</v>
      </c>
      <c r="F232" s="1" t="s">
        <v>17</v>
      </c>
      <c r="G232" s="1" t="s">
        <v>18</v>
      </c>
      <c r="H232" s="1">
        <v>1.0</v>
      </c>
      <c r="I232" s="1" t="s">
        <v>738</v>
      </c>
      <c r="J232" s="1" t="s">
        <v>738</v>
      </c>
    </row>
    <row r="233" ht="15.75" customHeight="1">
      <c r="A233" s="1" t="s">
        <v>739</v>
      </c>
      <c r="B233" s="4">
        <v>45738.0</v>
      </c>
      <c r="C233" s="1" t="s">
        <v>464</v>
      </c>
      <c r="D233" s="1" t="s">
        <v>47</v>
      </c>
      <c r="E233" s="1" t="s">
        <v>30</v>
      </c>
      <c r="F233" s="1" t="s">
        <v>31</v>
      </c>
      <c r="G233" s="1" t="s">
        <v>40</v>
      </c>
      <c r="H233" s="1">
        <v>1.0</v>
      </c>
      <c r="I233" s="1" t="s">
        <v>740</v>
      </c>
      <c r="J233" s="1" t="s">
        <v>740</v>
      </c>
    </row>
    <row r="234" ht="15.75" customHeight="1">
      <c r="A234" s="1" t="s">
        <v>741</v>
      </c>
      <c r="B234" s="4">
        <v>45739.0</v>
      </c>
      <c r="C234" s="1" t="s">
        <v>81</v>
      </c>
      <c r="D234" s="1" t="s">
        <v>23</v>
      </c>
      <c r="E234" s="1" t="s">
        <v>142</v>
      </c>
      <c r="F234" s="1" t="s">
        <v>77</v>
      </c>
      <c r="G234" s="1" t="s">
        <v>32</v>
      </c>
      <c r="H234" s="1">
        <v>1.0</v>
      </c>
      <c r="I234" s="1" t="s">
        <v>742</v>
      </c>
      <c r="J234" s="1" t="s">
        <v>742</v>
      </c>
    </row>
    <row r="235" ht="15.75" customHeight="1">
      <c r="A235" s="1" t="s">
        <v>743</v>
      </c>
      <c r="B235" s="4">
        <v>45739.0</v>
      </c>
      <c r="C235" s="1" t="s">
        <v>240</v>
      </c>
      <c r="D235" s="1" t="s">
        <v>23</v>
      </c>
      <c r="E235" s="1" t="s">
        <v>30</v>
      </c>
      <c r="F235" s="1" t="s">
        <v>31</v>
      </c>
      <c r="G235" s="1" t="s">
        <v>40</v>
      </c>
      <c r="H235" s="1">
        <v>2.0</v>
      </c>
      <c r="I235" s="1" t="s">
        <v>744</v>
      </c>
      <c r="J235" s="1" t="s">
        <v>745</v>
      </c>
    </row>
    <row r="236" ht="15.75" customHeight="1">
      <c r="A236" s="1" t="s">
        <v>746</v>
      </c>
      <c r="B236" s="4">
        <v>45740.0</v>
      </c>
      <c r="C236" s="1" t="s">
        <v>199</v>
      </c>
      <c r="D236" s="1" t="s">
        <v>15</v>
      </c>
      <c r="E236" s="1" t="s">
        <v>76</v>
      </c>
      <c r="F236" s="1" t="s">
        <v>77</v>
      </c>
      <c r="G236" s="1" t="s">
        <v>40</v>
      </c>
      <c r="H236" s="1">
        <v>50.0</v>
      </c>
      <c r="I236" s="1" t="s">
        <v>747</v>
      </c>
      <c r="J236" s="1" t="s">
        <v>748</v>
      </c>
    </row>
    <row r="237" ht="15.75" customHeight="1">
      <c r="A237" s="1" t="s">
        <v>749</v>
      </c>
      <c r="B237" s="4">
        <v>45740.0</v>
      </c>
      <c r="C237" s="1" t="s">
        <v>348</v>
      </c>
      <c r="D237" s="1" t="s">
        <v>23</v>
      </c>
      <c r="E237" s="1" t="s">
        <v>175</v>
      </c>
      <c r="F237" s="1" t="s">
        <v>50</v>
      </c>
      <c r="G237" s="1" t="s">
        <v>82</v>
      </c>
      <c r="H237" s="1">
        <v>20.0</v>
      </c>
      <c r="I237" s="1" t="s">
        <v>751</v>
      </c>
      <c r="J237" s="1" t="s">
        <v>752</v>
      </c>
    </row>
    <row r="238" ht="15.75" customHeight="1">
      <c r="A238" s="1" t="s">
        <v>753</v>
      </c>
      <c r="B238" s="4">
        <v>45740.0</v>
      </c>
      <c r="C238" s="1" t="s">
        <v>117</v>
      </c>
      <c r="D238" s="1" t="s">
        <v>15</v>
      </c>
      <c r="E238" s="1" t="s">
        <v>16</v>
      </c>
      <c r="F238" s="1" t="s">
        <v>17</v>
      </c>
      <c r="G238" s="1" t="s">
        <v>82</v>
      </c>
      <c r="H238" s="1">
        <v>1.0</v>
      </c>
      <c r="I238" s="1" t="s">
        <v>754</v>
      </c>
      <c r="J238" s="1" t="s">
        <v>755</v>
      </c>
    </row>
    <row r="239" ht="15.75" customHeight="1">
      <c r="A239" s="1" t="s">
        <v>756</v>
      </c>
      <c r="B239" s="4">
        <v>45740.0</v>
      </c>
      <c r="C239" s="1" t="s">
        <v>43</v>
      </c>
      <c r="D239" s="1" t="s">
        <v>23</v>
      </c>
      <c r="E239" s="1" t="s">
        <v>76</v>
      </c>
      <c r="F239" s="1" t="s">
        <v>77</v>
      </c>
      <c r="G239" s="1" t="s">
        <v>32</v>
      </c>
      <c r="H239" s="1">
        <v>1.0</v>
      </c>
      <c r="I239" s="1" t="s">
        <v>757</v>
      </c>
      <c r="J239" s="1" t="s">
        <v>757</v>
      </c>
    </row>
    <row r="240" ht="15.75" customHeight="1">
      <c r="A240" s="1" t="s">
        <v>758</v>
      </c>
      <c r="B240" s="4">
        <v>45741.0</v>
      </c>
      <c r="C240" s="1" t="s">
        <v>46</v>
      </c>
      <c r="D240" s="1" t="s">
        <v>58</v>
      </c>
      <c r="E240" s="1" t="s">
        <v>24</v>
      </c>
      <c r="F240" s="1" t="s">
        <v>17</v>
      </c>
      <c r="G240" s="1" t="s">
        <v>94</v>
      </c>
      <c r="H240" s="1">
        <v>1.0</v>
      </c>
      <c r="I240" s="1" t="s">
        <v>759</v>
      </c>
      <c r="J240" s="1" t="s">
        <v>760</v>
      </c>
    </row>
    <row r="241" ht="15.75" customHeight="1">
      <c r="A241" s="1" t="s">
        <v>761</v>
      </c>
      <c r="B241" s="4">
        <v>45742.0</v>
      </c>
      <c r="C241" s="1" t="s">
        <v>273</v>
      </c>
      <c r="D241" s="1" t="s">
        <v>38</v>
      </c>
      <c r="E241" s="1" t="s">
        <v>118</v>
      </c>
      <c r="F241" s="1" t="s">
        <v>77</v>
      </c>
      <c r="G241" s="1" t="s">
        <v>40</v>
      </c>
      <c r="H241" s="1">
        <v>2.0</v>
      </c>
      <c r="I241" s="1" t="s">
        <v>762</v>
      </c>
      <c r="J241" s="1" t="s">
        <v>763</v>
      </c>
    </row>
    <row r="242" ht="15.75" customHeight="1">
      <c r="A242" s="1" t="s">
        <v>764</v>
      </c>
      <c r="B242" s="4">
        <v>45742.0</v>
      </c>
      <c r="C242" s="1" t="s">
        <v>22</v>
      </c>
      <c r="D242" s="1" t="s">
        <v>128</v>
      </c>
      <c r="E242" s="1" t="s">
        <v>16</v>
      </c>
      <c r="F242" s="1" t="s">
        <v>17</v>
      </c>
      <c r="G242" s="1" t="s">
        <v>40</v>
      </c>
      <c r="H242" s="1">
        <v>1.0</v>
      </c>
      <c r="I242" s="1" t="s">
        <v>765</v>
      </c>
      <c r="J242" s="1" t="s">
        <v>765</v>
      </c>
    </row>
    <row r="243" ht="15.75" customHeight="1">
      <c r="A243" s="1" t="s">
        <v>766</v>
      </c>
      <c r="B243" s="4">
        <v>45742.0</v>
      </c>
      <c r="C243" s="1" t="s">
        <v>46</v>
      </c>
      <c r="D243" s="1" t="s">
        <v>15</v>
      </c>
      <c r="E243" s="1" t="s">
        <v>142</v>
      </c>
      <c r="F243" s="1" t="s">
        <v>77</v>
      </c>
      <c r="G243" s="1" t="s">
        <v>40</v>
      </c>
      <c r="H243" s="1">
        <v>1.0</v>
      </c>
      <c r="I243" s="1" t="s">
        <v>767</v>
      </c>
      <c r="J243" s="1" t="s">
        <v>768</v>
      </c>
    </row>
    <row r="244" ht="15.75" customHeight="1">
      <c r="A244" s="1" t="s">
        <v>769</v>
      </c>
      <c r="B244" s="4">
        <v>45743.0</v>
      </c>
      <c r="C244" s="1" t="s">
        <v>81</v>
      </c>
      <c r="D244" s="1" t="s">
        <v>47</v>
      </c>
      <c r="E244" s="1" t="s">
        <v>142</v>
      </c>
      <c r="F244" s="1" t="s">
        <v>77</v>
      </c>
      <c r="G244" s="1" t="s">
        <v>40</v>
      </c>
      <c r="H244" s="1">
        <v>2.0</v>
      </c>
      <c r="I244" s="1" t="s">
        <v>770</v>
      </c>
      <c r="J244" s="1" t="s">
        <v>771</v>
      </c>
    </row>
    <row r="245" ht="15.75" customHeight="1">
      <c r="A245" s="1" t="s">
        <v>772</v>
      </c>
      <c r="B245" s="4">
        <v>45744.0</v>
      </c>
      <c r="C245" s="1" t="s">
        <v>117</v>
      </c>
      <c r="D245" s="1" t="s">
        <v>15</v>
      </c>
      <c r="E245" s="1" t="s">
        <v>24</v>
      </c>
      <c r="F245" s="1" t="s">
        <v>17</v>
      </c>
      <c r="G245" s="1" t="s">
        <v>82</v>
      </c>
      <c r="H245" s="1">
        <v>1.0</v>
      </c>
      <c r="I245" s="1" t="s">
        <v>773</v>
      </c>
      <c r="J245" s="1" t="s">
        <v>773</v>
      </c>
    </row>
    <row r="246" ht="15.75" customHeight="1">
      <c r="A246" s="1" t="s">
        <v>774</v>
      </c>
      <c r="B246" s="4">
        <v>45744.0</v>
      </c>
      <c r="C246" s="1" t="s">
        <v>155</v>
      </c>
      <c r="D246" s="1" t="s">
        <v>775</v>
      </c>
      <c r="E246" s="1" t="s">
        <v>76</v>
      </c>
      <c r="F246" s="1" t="s">
        <v>77</v>
      </c>
      <c r="G246" s="1" t="s">
        <v>32</v>
      </c>
      <c r="H246" s="1">
        <v>1.0</v>
      </c>
      <c r="I246" s="1" t="s">
        <v>776</v>
      </c>
      <c r="J246" s="1" t="s">
        <v>777</v>
      </c>
    </row>
    <row r="247" ht="15.75" customHeight="1">
      <c r="A247" s="1" t="s">
        <v>778</v>
      </c>
      <c r="B247" s="4">
        <v>45744.0</v>
      </c>
      <c r="C247" s="1" t="s">
        <v>464</v>
      </c>
      <c r="D247" s="1" t="s">
        <v>23</v>
      </c>
      <c r="E247" s="1" t="s">
        <v>16</v>
      </c>
      <c r="F247" s="1" t="s">
        <v>17</v>
      </c>
      <c r="G247" s="1" t="s">
        <v>32</v>
      </c>
      <c r="H247" s="1">
        <v>50.0</v>
      </c>
      <c r="I247" s="1" t="s">
        <v>779</v>
      </c>
      <c r="J247" s="1" t="s">
        <v>780</v>
      </c>
    </row>
    <row r="248" ht="15.75" customHeight="1">
      <c r="A248" s="1" t="s">
        <v>781</v>
      </c>
      <c r="B248" s="4">
        <v>45744.0</v>
      </c>
      <c r="C248" s="1" t="s">
        <v>158</v>
      </c>
      <c r="D248" s="1" t="s">
        <v>15</v>
      </c>
      <c r="E248" s="1" t="s">
        <v>142</v>
      </c>
      <c r="F248" s="1" t="s">
        <v>77</v>
      </c>
      <c r="G248" s="1" t="s">
        <v>82</v>
      </c>
      <c r="H248" s="1">
        <v>1.0</v>
      </c>
      <c r="I248" s="1" t="s">
        <v>782</v>
      </c>
      <c r="J248" s="1" t="s">
        <v>782</v>
      </c>
    </row>
    <row r="249" ht="15.75" customHeight="1">
      <c r="A249" s="1" t="s">
        <v>783</v>
      </c>
      <c r="B249" s="4">
        <v>45744.0</v>
      </c>
      <c r="C249" s="1" t="s">
        <v>81</v>
      </c>
      <c r="D249" s="1" t="s">
        <v>15</v>
      </c>
      <c r="E249" s="1" t="s">
        <v>67</v>
      </c>
      <c r="F249" s="1" t="s">
        <v>31</v>
      </c>
      <c r="G249" s="1" t="s">
        <v>40</v>
      </c>
      <c r="H249" s="1">
        <v>1.0</v>
      </c>
      <c r="I249" s="1" t="s">
        <v>784</v>
      </c>
      <c r="J249" s="1" t="s">
        <v>785</v>
      </c>
    </row>
    <row r="250" ht="15.75" customHeight="1">
      <c r="A250" s="1" t="s">
        <v>786</v>
      </c>
      <c r="B250" s="4">
        <v>45745.0</v>
      </c>
      <c r="C250" s="1" t="s">
        <v>147</v>
      </c>
      <c r="D250" s="1" t="s">
        <v>15</v>
      </c>
      <c r="E250" s="1" t="s">
        <v>16</v>
      </c>
      <c r="F250" s="1" t="s">
        <v>17</v>
      </c>
      <c r="G250" s="1" t="s">
        <v>32</v>
      </c>
      <c r="H250" s="1">
        <v>2.0</v>
      </c>
      <c r="I250" s="1" t="s">
        <v>787</v>
      </c>
      <c r="J250" s="1" t="s">
        <v>788</v>
      </c>
    </row>
    <row r="251" ht="15.75" customHeight="1">
      <c r="A251" s="1" t="s">
        <v>789</v>
      </c>
      <c r="B251" s="4">
        <v>45746.0</v>
      </c>
      <c r="C251" s="1" t="s">
        <v>43</v>
      </c>
      <c r="D251" s="1" t="s">
        <v>23</v>
      </c>
      <c r="E251" s="1" t="s">
        <v>173</v>
      </c>
      <c r="F251" s="1" t="s">
        <v>31</v>
      </c>
      <c r="G251" s="1" t="s">
        <v>94</v>
      </c>
      <c r="H251" s="1">
        <v>1.0</v>
      </c>
      <c r="I251" s="1" t="s">
        <v>790</v>
      </c>
      <c r="J251" s="1" t="s">
        <v>791</v>
      </c>
    </row>
    <row r="252" ht="15.75" customHeight="1">
      <c r="A252" s="1" t="s">
        <v>792</v>
      </c>
      <c r="B252" s="4">
        <v>45746.0</v>
      </c>
      <c r="C252" s="1" t="s">
        <v>132</v>
      </c>
      <c r="D252" s="1" t="s">
        <v>47</v>
      </c>
      <c r="E252" s="1" t="s">
        <v>107</v>
      </c>
      <c r="F252" s="1" t="s">
        <v>50</v>
      </c>
      <c r="G252" s="1" t="s">
        <v>18</v>
      </c>
      <c r="H252" s="1">
        <v>1.0</v>
      </c>
      <c r="I252" s="1" t="s">
        <v>793</v>
      </c>
      <c r="J252" s="1" t="s">
        <v>793</v>
      </c>
    </row>
    <row r="253" ht="15.75" customHeight="1">
      <c r="A253" s="1" t="s">
        <v>794</v>
      </c>
      <c r="B253" s="4">
        <v>45746.0</v>
      </c>
      <c r="C253" s="1" t="s">
        <v>345</v>
      </c>
      <c r="D253" s="1" t="s">
        <v>58</v>
      </c>
      <c r="E253" s="1" t="s">
        <v>30</v>
      </c>
      <c r="F253" s="1" t="s">
        <v>31</v>
      </c>
      <c r="G253" s="1" t="s">
        <v>32</v>
      </c>
      <c r="H253" s="1">
        <v>1.0</v>
      </c>
      <c r="I253" s="1" t="s">
        <v>795</v>
      </c>
      <c r="J253" s="1" t="s">
        <v>795</v>
      </c>
    </row>
    <row r="254" ht="15.75" customHeight="1">
      <c r="A254" s="1" t="s">
        <v>796</v>
      </c>
      <c r="B254" s="4">
        <v>45746.0</v>
      </c>
      <c r="C254" s="1" t="s">
        <v>464</v>
      </c>
      <c r="D254" s="1" t="s">
        <v>58</v>
      </c>
      <c r="E254" s="1" t="s">
        <v>118</v>
      </c>
      <c r="F254" s="1" t="s">
        <v>77</v>
      </c>
      <c r="G254" s="1" t="s">
        <v>40</v>
      </c>
      <c r="H254" s="1">
        <v>1.0</v>
      </c>
      <c r="I254" s="1" t="s">
        <v>797</v>
      </c>
      <c r="J254" s="1" t="s">
        <v>797</v>
      </c>
    </row>
    <row r="255" ht="15.75" customHeight="1">
      <c r="A255" s="1" t="s">
        <v>798</v>
      </c>
      <c r="B255" s="4">
        <v>45746.0</v>
      </c>
      <c r="C255" s="1" t="s">
        <v>464</v>
      </c>
      <c r="D255" s="1" t="s">
        <v>15</v>
      </c>
      <c r="E255" s="1" t="s">
        <v>30</v>
      </c>
      <c r="F255" s="1" t="s">
        <v>31</v>
      </c>
      <c r="G255" s="1" t="s">
        <v>40</v>
      </c>
      <c r="H255" s="1">
        <v>2.0</v>
      </c>
      <c r="I255" s="1" t="s">
        <v>799</v>
      </c>
      <c r="J255" s="1" t="s">
        <v>800</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75"/>
    <col customWidth="1" min="2" max="2" width="15.5"/>
    <col customWidth="1" min="3" max="6" width="20.13"/>
    <col customWidth="1" min="10" max="10" width="15.63"/>
    <col customWidth="1" min="13" max="13" width="22.38"/>
    <col customWidth="1" min="14" max="14" width="19.75"/>
    <col customWidth="1" min="15" max="15" width="19.0"/>
  </cols>
  <sheetData>
    <row r="1">
      <c r="A1" s="2" t="s">
        <v>1</v>
      </c>
      <c r="L1" s="1"/>
      <c r="M1" s="1"/>
      <c r="N1" s="1"/>
    </row>
    <row r="2">
      <c r="M2" s="1" t="s">
        <v>13</v>
      </c>
    </row>
    <row r="3">
      <c r="A3" s="1" t="s">
        <v>0</v>
      </c>
      <c r="B3" s="1" t="s">
        <v>2</v>
      </c>
      <c r="C3" s="1" t="s">
        <v>3</v>
      </c>
      <c r="D3" s="1" t="s">
        <v>4</v>
      </c>
      <c r="E3" s="1" t="s">
        <v>6</v>
      </c>
      <c r="F3" s="1" t="s">
        <v>7</v>
      </c>
      <c r="G3" s="1" t="str">
        <f>TRIM(CLEAN(PROPER(peakflow_q1_2025_dirty!G1)))</f>
        <v>Region</v>
      </c>
      <c r="H3" s="1" t="s">
        <v>9</v>
      </c>
      <c r="I3" s="8" t="s">
        <v>10</v>
      </c>
      <c r="J3" s="9" t="s">
        <v>11</v>
      </c>
      <c r="K3" s="1" t="s">
        <v>53</v>
      </c>
      <c r="M3" s="1" t="s">
        <v>54</v>
      </c>
      <c r="N3" s="1" t="s">
        <v>56</v>
      </c>
      <c r="O3" s="1" t="s">
        <v>59</v>
      </c>
      <c r="P3" s="1" t="s">
        <v>60</v>
      </c>
      <c r="Q3" s="1" t="s">
        <v>62</v>
      </c>
      <c r="R3" s="1" t="s">
        <v>64</v>
      </c>
      <c r="S3" s="1" t="s">
        <v>66</v>
      </c>
      <c r="T3" s="1" t="s">
        <v>68</v>
      </c>
      <c r="U3" s="1" t="s">
        <v>70</v>
      </c>
      <c r="V3" s="1" t="s">
        <v>73</v>
      </c>
      <c r="W3" s="1" t="s">
        <v>75</v>
      </c>
      <c r="X3" s="1" t="s">
        <v>78</v>
      </c>
    </row>
    <row r="4">
      <c r="A4" s="1" t="str">
        <f>TRIM(CLEAN(PROPER(peakflow_q1_2025_dirty!A2)))</f>
        <v>D-1088</v>
      </c>
      <c r="B4" s="10">
        <f>DATEVALUE(TRIM(CLEAN(peakflow_q1_2025_dirty!B2)))</f>
        <v>45658</v>
      </c>
      <c r="C4" s="1" t="str">
        <f>TRIM(CLEAN(PROPER(peakflow_q1_2025_dirty!C2)))</f>
        <v>Helix Systems</v>
      </c>
      <c r="D4" s="1" t="str">
        <f>TRIM(CLEAN(PROPER(peakflow_q1_2025_dirty!D2)))</f>
        <v>Starter Plan</v>
      </c>
      <c r="E4" s="1" t="str">
        <f>TRIM(CLEAN(PROPER(peakflow_q1_2025_dirty!E2)))</f>
        <v>Nina Petrov</v>
      </c>
      <c r="F4" s="1" t="str">
        <f>TRIM(CLEAN(PROPER(peakflow_q1_2025_dirty!F2)))</f>
        <v>Lukas Becker</v>
      </c>
      <c r="G4" s="1" t="str">
        <f>TRIM(CLEAN(PROPER(peakflow_q1_2025_dirty!G2)))</f>
        <v>North America</v>
      </c>
      <c r="H4" s="1">
        <f>VALUE(TRIM((CLEAN(peakflow_q1_2025_dirty!H2))))</f>
        <v>2</v>
      </c>
      <c r="I4" s="8">
        <f>VALUE(SUBSTITUTE(peakflow_q1_2025_dirty!I2,".","," ))</f>
        <v>44.27</v>
      </c>
      <c r="J4" s="8">
        <f t="shared" ref="J4:J253" si="1">H4*I4</f>
        <v>88.54</v>
      </c>
      <c r="K4" s="1" t="str">
        <f t="shared" ref="K4:K253" si="2">TEXT(B4,"MMMM")</f>
        <v>Januar</v>
      </c>
      <c r="M4" s="1" t="str">
        <f t="shared" ref="M4:M253" si="3">IF($D4="Add-On: Analytics",$H4,NA())</f>
        <v>#N/A</v>
      </c>
      <c r="N4" s="1" t="str">
        <f t="shared" ref="N4:N253" si="4">IF($D4="Add-On: Analytics",$I4,NA())</f>
        <v>#N/A</v>
      </c>
      <c r="O4" s="1" t="str">
        <f t="shared" ref="O4:O253" si="5">IF($D4="Add-On: Support",$H4,NA())</f>
        <v>#N/A</v>
      </c>
      <c r="P4" s="1" t="str">
        <f t="shared" ref="P4:P253" si="6">IF($D4="Add-On: Support",$I4,NA())</f>
        <v>#N/A</v>
      </c>
      <c r="Q4" s="1" t="str">
        <f t="shared" ref="Q4:Q253" si="7">IF($D4="Business Plan",$H4,NA())</f>
        <v>#N/A</v>
      </c>
      <c r="R4" s="1" t="str">
        <f t="shared" ref="R4:R253" si="8">IF($D4="Business Plan",$I4,NA())</f>
        <v>#N/A</v>
      </c>
      <c r="S4" s="1" t="str">
        <f t="shared" ref="S4:S253" si="9">IF($D4="Enterprise Plan",$H4,NA())</f>
        <v>#N/A</v>
      </c>
      <c r="T4" s="1" t="str">
        <f t="shared" ref="T4:T253" si="10">IF($D4="Enterprise Plan",$I4,NA())</f>
        <v>#N/A</v>
      </c>
      <c r="U4" s="1" t="str">
        <f t="shared" ref="U4:U253" si="11">IF($D4="Pro Plan",$H4,NA())</f>
        <v>#N/A</v>
      </c>
      <c r="V4" s="1" t="str">
        <f t="shared" ref="V4:V253" si="12">IF($D4="Pro Plan",$I4,NA())</f>
        <v>#N/A</v>
      </c>
      <c r="W4" s="1">
        <f t="shared" ref="W4:W253" si="13">IF($D4="Starter Plan",$H4,NA())</f>
        <v>2</v>
      </c>
      <c r="X4" s="8">
        <f t="shared" ref="X4:X253" si="14">IF($D4="Starter Plan",$I4,NA())</f>
        <v>44.27</v>
      </c>
    </row>
    <row r="5">
      <c r="A5" s="1" t="str">
        <f>TRIM(CLEAN(PROPER(peakflow_q1_2025_dirty!A3)))</f>
        <v>D-1108</v>
      </c>
      <c r="B5" s="10">
        <f>DATEVALUE(TRIM(CLEAN(peakflow_q1_2025_dirty!B3)))</f>
        <v>45658</v>
      </c>
      <c r="C5" s="1" t="str">
        <f>TRIM(CLEAN(PROPER(peakflow_q1_2025_dirty!C3)))</f>
        <v>Meridian Group</v>
      </c>
      <c r="D5" s="1" t="str">
        <f>TRIM(CLEAN(PROPER(peakflow_q1_2025_dirty!D3)))</f>
        <v>Pro Plan</v>
      </c>
      <c r="E5" s="1" t="str">
        <f>TRIM(CLEAN(PROPER(peakflow_q1_2025_dirty!E3)))</f>
        <v>Tom Wilson</v>
      </c>
      <c r="F5" s="1" t="str">
        <f>TRIM(CLEAN(PROPER(peakflow_q1_2025_dirty!F3)))</f>
        <v>Lukas Becker</v>
      </c>
      <c r="G5" s="1" t="str">
        <f>TRIM(CLEAN(PROPER(peakflow_q1_2025_dirty!G3)))</f>
        <v>North America</v>
      </c>
      <c r="H5" s="1">
        <f>VALUE(TRIM((CLEAN(peakflow_q1_2025_dirty!H3))))</f>
        <v>10</v>
      </c>
      <c r="I5" s="8">
        <f>VALUE(SUBSTITUTE(peakflow_q1_2025_dirty!I3,".","," ))</f>
        <v>224.49</v>
      </c>
      <c r="J5" s="8">
        <f t="shared" si="1"/>
        <v>2244.9</v>
      </c>
      <c r="K5" s="1" t="str">
        <f t="shared" si="2"/>
        <v>Januar</v>
      </c>
      <c r="M5" s="1" t="str">
        <f t="shared" si="3"/>
        <v>#N/A</v>
      </c>
      <c r="N5" s="1" t="str">
        <f t="shared" si="4"/>
        <v>#N/A</v>
      </c>
      <c r="O5" s="1" t="str">
        <f t="shared" si="5"/>
        <v>#N/A</v>
      </c>
      <c r="P5" s="1" t="str">
        <f t="shared" si="6"/>
        <v>#N/A</v>
      </c>
      <c r="Q5" s="1" t="str">
        <f t="shared" si="7"/>
        <v>#N/A</v>
      </c>
      <c r="R5" s="1" t="str">
        <f t="shared" si="8"/>
        <v>#N/A</v>
      </c>
      <c r="S5" s="1" t="str">
        <f t="shared" si="9"/>
        <v>#N/A</v>
      </c>
      <c r="T5" s="1" t="str">
        <f t="shared" si="10"/>
        <v>#N/A</v>
      </c>
      <c r="U5" s="1">
        <f t="shared" si="11"/>
        <v>10</v>
      </c>
      <c r="V5" s="8">
        <f t="shared" si="12"/>
        <v>224.49</v>
      </c>
      <c r="W5" s="1" t="str">
        <f t="shared" si="13"/>
        <v>#N/A</v>
      </c>
      <c r="X5" s="1" t="str">
        <f t="shared" si="14"/>
        <v>#N/A</v>
      </c>
    </row>
    <row r="6">
      <c r="A6" s="1" t="str">
        <f>TRIM(CLEAN(PROPER(peakflow_q1_2025_dirty!A4)))</f>
        <v>D-1230</v>
      </c>
      <c r="B6" s="10">
        <f>DATEVALUE(TRIM(CLEAN(peakflow_q1_2025_dirty!B4)))</f>
        <v>45658</v>
      </c>
      <c r="C6" s="1" t="str">
        <f>TRIM(CLEAN(PROPER(peakflow_q1_2025_dirty!C4)))</f>
        <v>Fusion Group</v>
      </c>
      <c r="D6" s="1" t="str">
        <f>TRIM(CLEAN(PROPER(peakflow_q1_2025_dirty!D4)))</f>
        <v>Pro Plan</v>
      </c>
      <c r="E6" s="1" t="str">
        <f>TRIM(CLEAN(PROPER(peakflow_q1_2025_dirty!E4)))</f>
        <v>Marcus Johnson</v>
      </c>
      <c r="F6" s="1" t="str">
        <f>TRIM(CLEAN(PROPER(peakflow_q1_2025_dirty!F4)))</f>
        <v>Sarah Chen</v>
      </c>
      <c r="G6" s="1" t="str">
        <f>TRIM(CLEAN(UPPER(peakflow_q1_2025_dirty!G4)))</f>
        <v>LATAM</v>
      </c>
      <c r="H6" s="1">
        <f>VALUE(TRIM((CLEAN(peakflow_q1_2025_dirty!H4))))</f>
        <v>2</v>
      </c>
      <c r="I6" s="8">
        <f>VALUE(SUBSTITUTE(peakflow_q1_2025_dirty!I4,".","," ))</f>
        <v>248.58</v>
      </c>
      <c r="J6" s="8">
        <f t="shared" si="1"/>
        <v>497.16</v>
      </c>
      <c r="K6" s="1" t="str">
        <f t="shared" si="2"/>
        <v>Januar</v>
      </c>
      <c r="M6" s="1" t="str">
        <f t="shared" si="3"/>
        <v>#N/A</v>
      </c>
      <c r="N6" s="1" t="str">
        <f t="shared" si="4"/>
        <v>#N/A</v>
      </c>
      <c r="O6" s="1" t="str">
        <f t="shared" si="5"/>
        <v>#N/A</v>
      </c>
      <c r="P6" s="1" t="str">
        <f t="shared" si="6"/>
        <v>#N/A</v>
      </c>
      <c r="Q6" s="1" t="str">
        <f t="shared" si="7"/>
        <v>#N/A</v>
      </c>
      <c r="R6" s="1" t="str">
        <f t="shared" si="8"/>
        <v>#N/A</v>
      </c>
      <c r="S6" s="1" t="str">
        <f t="shared" si="9"/>
        <v>#N/A</v>
      </c>
      <c r="T6" s="1" t="str">
        <f t="shared" si="10"/>
        <v>#N/A</v>
      </c>
      <c r="U6" s="1">
        <f t="shared" si="11"/>
        <v>2</v>
      </c>
      <c r="V6" s="8">
        <f t="shared" si="12"/>
        <v>248.58</v>
      </c>
      <c r="W6" s="1" t="str">
        <f t="shared" si="13"/>
        <v>#N/A</v>
      </c>
      <c r="X6" s="1" t="str">
        <f t="shared" si="14"/>
        <v>#N/A</v>
      </c>
    </row>
    <row r="7">
      <c r="A7" s="1" t="str">
        <f>TRIM(CLEAN(PROPER(peakflow_q1_2025_dirty!A5)))</f>
        <v>D-1035</v>
      </c>
      <c r="B7" s="10">
        <f>DATEVALUE(TRIM(CLEAN(peakflow_q1_2025_dirty!B5)))</f>
        <v>45659</v>
      </c>
      <c r="C7" s="1" t="str">
        <f>TRIM(CLEAN(PROPER(peakflow_q1_2025_dirty!C5)))</f>
        <v>Nova Inc</v>
      </c>
      <c r="D7" s="1" t="str">
        <f>TRIM(CLEAN(PROPER(peakflow_q1_2025_dirty!D5)))</f>
        <v>Add-On: Support</v>
      </c>
      <c r="E7" s="1" t="str">
        <f>TRIM(CLEAN(PROPER(peakflow_q1_2025_dirty!E5)))</f>
        <v>Elena Rossi</v>
      </c>
      <c r="F7" s="1" t="str">
        <f>TRIM(CLEAN(PROPER(peakflow_q1_2025_dirty!F5)))</f>
        <v>Lukas Becker</v>
      </c>
      <c r="G7" s="1" t="str">
        <f>TRIM(CLEAN(UPPER(peakflow_q1_2025_dirty!G5)))</f>
        <v>EMEA</v>
      </c>
      <c r="H7" s="1">
        <f>VALUE(TRIM((CLEAN(peakflow_q1_2025_dirty!H5))))</f>
        <v>1</v>
      </c>
      <c r="I7" s="8">
        <f>VALUE(SUBSTITUTE(peakflow_q1_2025_dirty!I5,".","," ))</f>
        <v>112.19</v>
      </c>
      <c r="J7" s="8">
        <f t="shared" si="1"/>
        <v>112.19</v>
      </c>
      <c r="K7" s="1" t="str">
        <f t="shared" si="2"/>
        <v>Januar</v>
      </c>
      <c r="M7" s="1" t="str">
        <f t="shared" si="3"/>
        <v>#N/A</v>
      </c>
      <c r="N7" s="1" t="str">
        <f t="shared" si="4"/>
        <v>#N/A</v>
      </c>
      <c r="O7" s="1">
        <f t="shared" si="5"/>
        <v>1</v>
      </c>
      <c r="P7" s="8">
        <f t="shared" si="6"/>
        <v>112.19</v>
      </c>
      <c r="Q7" s="1" t="str">
        <f t="shared" si="7"/>
        <v>#N/A</v>
      </c>
      <c r="R7" s="1" t="str">
        <f t="shared" si="8"/>
        <v>#N/A</v>
      </c>
      <c r="S7" s="1" t="str">
        <f t="shared" si="9"/>
        <v>#N/A</v>
      </c>
      <c r="T7" s="1" t="str">
        <f t="shared" si="10"/>
        <v>#N/A</v>
      </c>
      <c r="U7" s="1" t="str">
        <f t="shared" si="11"/>
        <v>#N/A</v>
      </c>
      <c r="V7" s="1" t="str">
        <f t="shared" si="12"/>
        <v>#N/A</v>
      </c>
      <c r="W7" s="1" t="str">
        <f t="shared" si="13"/>
        <v>#N/A</v>
      </c>
      <c r="X7" s="1" t="str">
        <f t="shared" si="14"/>
        <v>#N/A</v>
      </c>
    </row>
    <row r="8">
      <c r="A8" s="1" t="str">
        <f>TRIM(CLEAN(PROPER(peakflow_q1_2025_dirty!A6)))</f>
        <v>D-1152</v>
      </c>
      <c r="B8" s="10">
        <f>DATEVALUE(TRIM(CLEAN(peakflow_q1_2025_dirty!B6)))</f>
        <v>45659</v>
      </c>
      <c r="C8" s="1" t="str">
        <f>TRIM(CLEAN(PROPER(peakflow_q1_2025_dirty!C6)))</f>
        <v>Catalyst Inc</v>
      </c>
      <c r="D8" s="1" t="str">
        <f>TRIM(CLEAN(PROPER(peakflow_q1_2025_dirty!D6)))</f>
        <v>Starter Plan</v>
      </c>
      <c r="E8" s="1" t="str">
        <f>TRIM(CLEAN(PROPER(peakflow_q1_2025_dirty!E6)))</f>
        <v>Elena Rossi</v>
      </c>
      <c r="F8" s="1" t="str">
        <f>TRIM(CLEAN(PROPER(peakflow_q1_2025_dirty!F6)))</f>
        <v>Lukas Becker</v>
      </c>
      <c r="G8" s="1" t="str">
        <f>TRIM(CLEAN(PROPER(peakflow_q1_2025_dirty!G6)))</f>
        <v>North America</v>
      </c>
      <c r="H8" s="1">
        <f>VALUE(TRIM((CLEAN(peakflow_q1_2025_dirty!H6))))</f>
        <v>1</v>
      </c>
      <c r="I8" s="8">
        <f>VALUE(SUBSTITUTE(peakflow_q1_2025_dirty!I6,".","," ))</f>
        <v>73.94</v>
      </c>
      <c r="J8" s="8">
        <f t="shared" si="1"/>
        <v>73.94</v>
      </c>
      <c r="K8" s="1" t="str">
        <f t="shared" si="2"/>
        <v>Januar</v>
      </c>
      <c r="M8" s="1" t="str">
        <f t="shared" si="3"/>
        <v>#N/A</v>
      </c>
      <c r="N8" s="1" t="str">
        <f t="shared" si="4"/>
        <v>#N/A</v>
      </c>
      <c r="O8" s="1" t="str">
        <f t="shared" si="5"/>
        <v>#N/A</v>
      </c>
      <c r="P8" s="1" t="str">
        <f t="shared" si="6"/>
        <v>#N/A</v>
      </c>
      <c r="Q8" s="1" t="str">
        <f t="shared" si="7"/>
        <v>#N/A</v>
      </c>
      <c r="R8" s="1" t="str">
        <f t="shared" si="8"/>
        <v>#N/A</v>
      </c>
      <c r="S8" s="1" t="str">
        <f t="shared" si="9"/>
        <v>#N/A</v>
      </c>
      <c r="T8" s="1" t="str">
        <f t="shared" si="10"/>
        <v>#N/A</v>
      </c>
      <c r="U8" s="1" t="str">
        <f t="shared" si="11"/>
        <v>#N/A</v>
      </c>
      <c r="V8" s="1" t="str">
        <f t="shared" si="12"/>
        <v>#N/A</v>
      </c>
      <c r="W8" s="1">
        <f t="shared" si="13"/>
        <v>1</v>
      </c>
      <c r="X8" s="8">
        <f t="shared" si="14"/>
        <v>73.94</v>
      </c>
    </row>
    <row r="9">
      <c r="A9" s="1" t="str">
        <f>TRIM(CLEAN(PROPER(peakflow_q1_2025_dirty!A7)))</f>
        <v>D-1202</v>
      </c>
      <c r="B9" s="10">
        <f>DATEVALUE(TRIM(CLEAN(peakflow_q1_2025_dirty!B7)))</f>
        <v>45659</v>
      </c>
      <c r="C9" s="1" t="str">
        <f>TRIM(CLEAN(PROPER(peakflow_q1_2025_dirty!C7)))</f>
        <v>Nimbus Co</v>
      </c>
      <c r="D9" s="1" t="str">
        <f>TRIM(CLEAN(PROPER(peakflow_q1_2025_dirty!D7)))</f>
        <v>Business Plan</v>
      </c>
      <c r="E9" s="1" t="str">
        <f>TRIM(CLEAN(PROPER(peakflow_q1_2025_dirty!E7)))</f>
        <v>James Park</v>
      </c>
      <c r="F9" s="1" t="str">
        <f>TRIM(CLEAN(PROPER(peakflow_q1_2025_dirty!F7)))</f>
        <v>Owen Walsh</v>
      </c>
      <c r="G9" s="1" t="str">
        <f>TRIM(CLEAN(PROPER(peakflow_q1_2025_dirty!G7)))</f>
        <v>North America</v>
      </c>
      <c r="H9" s="1">
        <f>VALUE(TRIM((CLEAN(peakflow_q1_2025_dirty!H7))))</f>
        <v>5</v>
      </c>
      <c r="I9" s="8">
        <f>VALUE(SUBSTITUTE(peakflow_q1_2025_dirty!I7,".","," ))</f>
        <v>369.19</v>
      </c>
      <c r="J9" s="8">
        <f t="shared" si="1"/>
        <v>1845.95</v>
      </c>
      <c r="K9" s="1" t="str">
        <f t="shared" si="2"/>
        <v>Januar</v>
      </c>
      <c r="M9" s="1" t="str">
        <f t="shared" si="3"/>
        <v>#N/A</v>
      </c>
      <c r="N9" s="1" t="str">
        <f t="shared" si="4"/>
        <v>#N/A</v>
      </c>
      <c r="O9" s="1" t="str">
        <f t="shared" si="5"/>
        <v>#N/A</v>
      </c>
      <c r="P9" s="1" t="str">
        <f t="shared" si="6"/>
        <v>#N/A</v>
      </c>
      <c r="Q9" s="1">
        <f t="shared" si="7"/>
        <v>5</v>
      </c>
      <c r="R9" s="8">
        <f t="shared" si="8"/>
        <v>369.19</v>
      </c>
      <c r="S9" s="1" t="str">
        <f t="shared" si="9"/>
        <v>#N/A</v>
      </c>
      <c r="T9" s="1" t="str">
        <f t="shared" si="10"/>
        <v>#N/A</v>
      </c>
      <c r="U9" s="1" t="str">
        <f t="shared" si="11"/>
        <v>#N/A</v>
      </c>
      <c r="V9" s="1" t="str">
        <f t="shared" si="12"/>
        <v>#N/A</v>
      </c>
      <c r="W9" s="1" t="str">
        <f t="shared" si="13"/>
        <v>#N/A</v>
      </c>
      <c r="X9" s="1" t="str">
        <f t="shared" si="14"/>
        <v>#N/A</v>
      </c>
    </row>
    <row r="10">
      <c r="A10" s="1" t="str">
        <f>TRIM(CLEAN(PROPER(peakflow_q1_2025_dirty!A8)))</f>
        <v>D-1249</v>
      </c>
      <c r="B10" s="10">
        <f>DATEVALUE(TRIM(CLEAN(peakflow_q1_2025_dirty!B8)))</f>
        <v>45659</v>
      </c>
      <c r="C10" s="1" t="str">
        <f>TRIM(CLEAN(PROPER(peakflow_q1_2025_dirty!C8)))</f>
        <v>Summit Group</v>
      </c>
      <c r="D10" s="1" t="str">
        <f>TRIM(CLEAN(PROPER(peakflow_q1_2025_dirty!D8)))</f>
        <v>Enterprise Plan</v>
      </c>
      <c r="E10" s="1" t="str">
        <f>TRIM(CLEAN(PROPER(peakflow_q1_2025_dirty!E8)))</f>
        <v>Elena Rossi</v>
      </c>
      <c r="F10" s="1" t="str">
        <f>TRIM(CLEAN(PROPER(peakflow_q1_2025_dirty!F8)))</f>
        <v>Lukas Becker</v>
      </c>
      <c r="G10" s="1" t="str">
        <f>TRIM(CLEAN(PROPER(peakflow_q1_2025_dirty!G8)))</f>
        <v>North America</v>
      </c>
      <c r="H10" s="1">
        <f>VALUE(TRIM((CLEAN(peakflow_q1_2025_dirty!H8))))</f>
        <v>1</v>
      </c>
      <c r="I10" s="8">
        <f>VALUE(SUBSTITUTE(peakflow_q1_2025_dirty!I8,".","," ))</f>
        <v>1198.59</v>
      </c>
      <c r="J10" s="8">
        <f t="shared" si="1"/>
        <v>1198.59</v>
      </c>
      <c r="K10" s="1" t="str">
        <f t="shared" si="2"/>
        <v>Januar</v>
      </c>
      <c r="M10" s="1" t="str">
        <f t="shared" si="3"/>
        <v>#N/A</v>
      </c>
      <c r="N10" s="1" t="str">
        <f t="shared" si="4"/>
        <v>#N/A</v>
      </c>
      <c r="O10" s="1" t="str">
        <f t="shared" si="5"/>
        <v>#N/A</v>
      </c>
      <c r="P10" s="1" t="str">
        <f t="shared" si="6"/>
        <v>#N/A</v>
      </c>
      <c r="Q10" s="1" t="str">
        <f t="shared" si="7"/>
        <v>#N/A</v>
      </c>
      <c r="R10" s="1" t="str">
        <f t="shared" si="8"/>
        <v>#N/A</v>
      </c>
      <c r="S10" s="1">
        <f t="shared" si="9"/>
        <v>1</v>
      </c>
      <c r="T10" s="8">
        <f t="shared" si="10"/>
        <v>1198.59</v>
      </c>
      <c r="U10" s="1" t="str">
        <f t="shared" si="11"/>
        <v>#N/A</v>
      </c>
      <c r="V10" s="1" t="str">
        <f t="shared" si="12"/>
        <v>#N/A</v>
      </c>
      <c r="W10" s="1" t="str">
        <f t="shared" si="13"/>
        <v>#N/A</v>
      </c>
      <c r="X10" s="1" t="str">
        <f t="shared" si="14"/>
        <v>#N/A</v>
      </c>
    </row>
    <row r="11">
      <c r="A11" s="1" t="str">
        <f>TRIM(CLEAN(PROPER(peakflow_q1_2025_dirty!A9)))</f>
        <v>D-1054</v>
      </c>
      <c r="B11" s="10">
        <f>DATEVALUE(TRIM(CLEAN(peakflow_q1_2025_dirty!B9)))</f>
        <v>45661</v>
      </c>
      <c r="C11" s="1" t="str">
        <f>TRIM(CLEAN(PROPER(peakflow_q1_2025_dirty!C9)))</f>
        <v>Northwind Co</v>
      </c>
      <c r="D11" s="1" t="str">
        <f>TRIM(CLEAN(PROPER(peakflow_q1_2025_dirty!D9)))</f>
        <v>Enterprise Plan</v>
      </c>
      <c r="E11" s="1" t="str">
        <f>TRIM(CLEAN(PROPER(peakflow_q1_2025_dirty!E9)))</f>
        <v>David Kim</v>
      </c>
      <c r="F11" s="1" t="str">
        <f>TRIM(CLEAN(PROPER(peakflow_q1_2025_dirty!F9)))</f>
        <v>Sarah Chen</v>
      </c>
      <c r="G11" s="1" t="str">
        <f>TRIM(CLEAN(UPPER(peakflow_q1_2025_dirty!G9)))</f>
        <v>EMEA</v>
      </c>
      <c r="H11" s="1">
        <f>VALUE(TRIM((CLEAN(peakflow_q1_2025_dirty!H9))))</f>
        <v>2</v>
      </c>
      <c r="I11" s="8">
        <f>VALUE(SUBSTITUTE(peakflow_q1_2025_dirty!I9,".","," ))</f>
        <v>1182.78</v>
      </c>
      <c r="J11" s="8">
        <f t="shared" si="1"/>
        <v>2365.56</v>
      </c>
      <c r="K11" s="1" t="str">
        <f t="shared" si="2"/>
        <v>Januar</v>
      </c>
      <c r="M11" s="1" t="str">
        <f t="shared" si="3"/>
        <v>#N/A</v>
      </c>
      <c r="N11" s="1" t="str">
        <f t="shared" si="4"/>
        <v>#N/A</v>
      </c>
      <c r="O11" s="1" t="str">
        <f t="shared" si="5"/>
        <v>#N/A</v>
      </c>
      <c r="P11" s="1" t="str">
        <f t="shared" si="6"/>
        <v>#N/A</v>
      </c>
      <c r="Q11" s="1" t="str">
        <f t="shared" si="7"/>
        <v>#N/A</v>
      </c>
      <c r="R11" s="1" t="str">
        <f t="shared" si="8"/>
        <v>#N/A</v>
      </c>
      <c r="S11" s="1">
        <f t="shared" si="9"/>
        <v>2</v>
      </c>
      <c r="T11" s="8">
        <f t="shared" si="10"/>
        <v>1182.78</v>
      </c>
      <c r="U11" s="1" t="str">
        <f t="shared" si="11"/>
        <v>#N/A</v>
      </c>
      <c r="V11" s="1" t="str">
        <f t="shared" si="12"/>
        <v>#N/A</v>
      </c>
      <c r="W11" s="1" t="str">
        <f t="shared" si="13"/>
        <v>#N/A</v>
      </c>
      <c r="X11" s="1" t="str">
        <f t="shared" si="14"/>
        <v>#N/A</v>
      </c>
    </row>
    <row r="12">
      <c r="A12" s="1" t="str">
        <f>TRIM(CLEAN(PROPER(peakflow_q1_2025_dirty!A10)))</f>
        <v>D-1102</v>
      </c>
      <c r="B12" s="10">
        <f>DATEVALUE(TRIM(CLEAN(peakflow_q1_2025_dirty!B10)))</f>
        <v>45661</v>
      </c>
      <c r="C12" s="1" t="str">
        <f>TRIM(CLEAN(PROPER(peakflow_q1_2025_dirty!C10)))</f>
        <v>Lumen Labs</v>
      </c>
      <c r="D12" s="1" t="str">
        <f>TRIM(CLEAN(PROPER(peakflow_q1_2025_dirty!D10)))</f>
        <v>Starter Plan</v>
      </c>
      <c r="E12" s="1" t="str">
        <f>TRIM(CLEAN(PROPER(peakflow_q1_2025_dirty!E10)))</f>
        <v>Carlos Mendez</v>
      </c>
      <c r="F12" s="1" t="str">
        <f>TRIM(CLEAN(PROPER(peakflow_q1_2025_dirty!F10)))</f>
        <v>Maya Rodriguez</v>
      </c>
      <c r="G12" s="1" t="str">
        <f>TRIM(CLEAN(UPPER(peakflow_q1_2025_dirty!G10)))</f>
        <v>EMEA</v>
      </c>
      <c r="H12" s="1">
        <f>VALUE(TRIM((CLEAN(peakflow_q1_2025_dirty!H10))))</f>
        <v>1</v>
      </c>
      <c r="I12" s="8">
        <f>VALUE(SUBSTITUTE(peakflow_q1_2025_dirty!I10,".","," ))</f>
        <v>68.06</v>
      </c>
      <c r="J12" s="8">
        <f t="shared" si="1"/>
        <v>68.06</v>
      </c>
      <c r="K12" s="1" t="str">
        <f t="shared" si="2"/>
        <v>Januar</v>
      </c>
      <c r="M12" s="1" t="str">
        <f t="shared" si="3"/>
        <v>#N/A</v>
      </c>
      <c r="N12" s="1" t="str">
        <f t="shared" si="4"/>
        <v>#N/A</v>
      </c>
      <c r="O12" s="1" t="str">
        <f t="shared" si="5"/>
        <v>#N/A</v>
      </c>
      <c r="P12" s="1" t="str">
        <f t="shared" si="6"/>
        <v>#N/A</v>
      </c>
      <c r="Q12" s="1" t="str">
        <f t="shared" si="7"/>
        <v>#N/A</v>
      </c>
      <c r="R12" s="1" t="str">
        <f t="shared" si="8"/>
        <v>#N/A</v>
      </c>
      <c r="S12" s="1" t="str">
        <f t="shared" si="9"/>
        <v>#N/A</v>
      </c>
      <c r="T12" s="1" t="str">
        <f t="shared" si="10"/>
        <v>#N/A</v>
      </c>
      <c r="U12" s="1" t="str">
        <f t="shared" si="11"/>
        <v>#N/A</v>
      </c>
      <c r="V12" s="1" t="str">
        <f t="shared" si="12"/>
        <v>#N/A</v>
      </c>
      <c r="W12" s="1">
        <f t="shared" si="13"/>
        <v>1</v>
      </c>
      <c r="X12" s="8">
        <f t="shared" si="14"/>
        <v>68.06</v>
      </c>
    </row>
    <row r="13">
      <c r="A13" s="1" t="str">
        <f>TRIM(CLEAN(PROPER(peakflow_q1_2025_dirty!A11)))</f>
        <v>D-1115</v>
      </c>
      <c r="B13" s="10">
        <f>DATEVALUE(TRIM(CLEAN(peakflow_q1_2025_dirty!B11)))</f>
        <v>45661</v>
      </c>
      <c r="C13" s="1" t="str">
        <f>TRIM(CLEAN(PROPER(peakflow_q1_2025_dirty!C11)))</f>
        <v>Kestrel Co</v>
      </c>
      <c r="D13" s="1" t="str">
        <f>TRIM(CLEAN(PROPER(peakflow_q1_2025_dirty!D11)))</f>
        <v>Add-On: Support</v>
      </c>
      <c r="E13" s="1" t="str">
        <f>TRIM(CLEAN(PROPER(peakflow_q1_2025_dirty!E11)))</f>
        <v>Tom Wilson</v>
      </c>
      <c r="F13" s="1" t="str">
        <f>TRIM(CLEAN(PROPER(peakflow_q1_2025_dirty!F11)))</f>
        <v>Lukas Becker</v>
      </c>
      <c r="G13" s="1" t="str">
        <f>TRIM(CLEAN(UPPER(peakflow_q1_2025_dirty!G11)))</f>
        <v>APAC</v>
      </c>
      <c r="H13" s="1">
        <f>VALUE(TRIM((CLEAN(peakflow_q1_2025_dirty!H11))))</f>
        <v>2</v>
      </c>
      <c r="I13" s="8">
        <f>VALUE(SUBSTITUTE(peakflow_q1_2025_dirty!I11,".","," ))</f>
        <v>118.97</v>
      </c>
      <c r="J13" s="8">
        <f t="shared" si="1"/>
        <v>237.94</v>
      </c>
      <c r="K13" s="1" t="str">
        <f t="shared" si="2"/>
        <v>Januar</v>
      </c>
      <c r="M13" s="1" t="str">
        <f t="shared" si="3"/>
        <v>#N/A</v>
      </c>
      <c r="N13" s="1" t="str">
        <f t="shared" si="4"/>
        <v>#N/A</v>
      </c>
      <c r="O13" s="1">
        <f t="shared" si="5"/>
        <v>2</v>
      </c>
      <c r="P13" s="8">
        <f t="shared" si="6"/>
        <v>118.97</v>
      </c>
      <c r="Q13" s="1" t="str">
        <f t="shared" si="7"/>
        <v>#N/A</v>
      </c>
      <c r="R13" s="1" t="str">
        <f t="shared" si="8"/>
        <v>#N/A</v>
      </c>
      <c r="S13" s="1" t="str">
        <f t="shared" si="9"/>
        <v>#N/A</v>
      </c>
      <c r="T13" s="1" t="str">
        <f t="shared" si="10"/>
        <v>#N/A</v>
      </c>
      <c r="U13" s="1" t="str">
        <f t="shared" si="11"/>
        <v>#N/A</v>
      </c>
      <c r="V13" s="1" t="str">
        <f t="shared" si="12"/>
        <v>#N/A</v>
      </c>
      <c r="W13" s="1" t="str">
        <f t="shared" si="13"/>
        <v>#N/A</v>
      </c>
      <c r="X13" s="1" t="str">
        <f t="shared" si="14"/>
        <v>#N/A</v>
      </c>
    </row>
    <row r="14">
      <c r="A14" s="1" t="str">
        <f>TRIM(CLEAN(PROPER(peakflow_q1_2025_dirty!A12)))</f>
        <v>D-1138</v>
      </c>
      <c r="B14" s="10">
        <f>DATEVALUE(TRIM(CLEAN(peakflow_q1_2025_dirty!B12)))</f>
        <v>45661</v>
      </c>
      <c r="C14" s="1" t="str">
        <f>TRIM(CLEAN(PROPER(peakflow_q1_2025_dirty!C12)))</f>
        <v>Nova Inc</v>
      </c>
      <c r="D14" s="1" t="str">
        <f>TRIM(CLEAN(PROPER(peakflow_q1_2025_dirty!D12)))</f>
        <v>Starter Plan</v>
      </c>
      <c r="E14" s="1" t="str">
        <f>TRIM(CLEAN(PROPER(peakflow_q1_2025_dirty!E12)))</f>
        <v>Marcus Johnson</v>
      </c>
      <c r="F14" s="1" t="str">
        <f>TRIM(CLEAN(PROPER(peakflow_q1_2025_dirty!F12)))</f>
        <v>Sarah Chen</v>
      </c>
      <c r="G14" s="1" t="str">
        <f>TRIM(CLEAN(UPPER(peakflow_q1_2025_dirty!G12)))</f>
        <v>LATAM</v>
      </c>
      <c r="H14" s="1">
        <f>VALUE(TRIM((CLEAN(peakflow_q1_2025_dirty!H12))))</f>
        <v>5</v>
      </c>
      <c r="I14" s="8">
        <f>VALUE(SUBSTITUTE(peakflow_q1_2025_dirty!I12,".","," ))</f>
        <v>53.28</v>
      </c>
      <c r="J14" s="8">
        <f t="shared" si="1"/>
        <v>266.4</v>
      </c>
      <c r="K14" s="1" t="str">
        <f t="shared" si="2"/>
        <v>Januar</v>
      </c>
      <c r="M14" s="1" t="str">
        <f t="shared" si="3"/>
        <v>#N/A</v>
      </c>
      <c r="N14" s="1" t="str">
        <f t="shared" si="4"/>
        <v>#N/A</v>
      </c>
      <c r="O14" s="1" t="str">
        <f t="shared" si="5"/>
        <v>#N/A</v>
      </c>
      <c r="P14" s="1" t="str">
        <f t="shared" si="6"/>
        <v>#N/A</v>
      </c>
      <c r="Q14" s="1" t="str">
        <f t="shared" si="7"/>
        <v>#N/A</v>
      </c>
      <c r="R14" s="1" t="str">
        <f t="shared" si="8"/>
        <v>#N/A</v>
      </c>
      <c r="S14" s="1" t="str">
        <f t="shared" si="9"/>
        <v>#N/A</v>
      </c>
      <c r="T14" s="1" t="str">
        <f t="shared" si="10"/>
        <v>#N/A</v>
      </c>
      <c r="U14" s="1" t="str">
        <f t="shared" si="11"/>
        <v>#N/A</v>
      </c>
      <c r="V14" s="1" t="str">
        <f t="shared" si="12"/>
        <v>#N/A</v>
      </c>
      <c r="W14" s="1">
        <f t="shared" si="13"/>
        <v>5</v>
      </c>
      <c r="X14" s="8">
        <f t="shared" si="14"/>
        <v>53.28</v>
      </c>
    </row>
    <row r="15">
      <c r="A15" s="1" t="str">
        <f>TRIM(CLEAN(PROPER(peakflow_q1_2025_dirty!A13)))</f>
        <v>D-1231</v>
      </c>
      <c r="B15" s="10">
        <f>DATEVALUE(TRIM(CLEAN(peakflow_q1_2025_dirty!B13)))</f>
        <v>45661</v>
      </c>
      <c r="C15" s="1" t="str">
        <f>TRIM(CLEAN(PROPER(peakflow_q1_2025_dirty!C13)))</f>
        <v>Borealis Co</v>
      </c>
      <c r="D15" s="1" t="str">
        <f>TRIM(CLEAN(PROPER(peakflow_q1_2025_dirty!D13)))</f>
        <v>Enterprise Plan</v>
      </c>
      <c r="E15" s="1" t="str">
        <f>TRIM(CLEAN(PROPER(peakflow_q1_2025_dirty!E13)))</f>
        <v>Marcus Johnson</v>
      </c>
      <c r="F15" s="1" t="str">
        <f>TRIM(CLEAN(PROPER(peakflow_q1_2025_dirty!F13)))</f>
        <v>Sarah Chen</v>
      </c>
      <c r="G15" s="1" t="str">
        <f>TRIM(CLEAN(UPPER(peakflow_q1_2025_dirty!G13)))</f>
        <v>EMEA</v>
      </c>
      <c r="H15" s="1">
        <f>VALUE(TRIM((CLEAN(peakflow_q1_2025_dirty!H13))))</f>
        <v>1</v>
      </c>
      <c r="I15" s="8">
        <f>VALUE(SUBSTITUTE(peakflow_q1_2025_dirty!I13,".","," ))</f>
        <v>992.76</v>
      </c>
      <c r="J15" s="8">
        <f t="shared" si="1"/>
        <v>992.76</v>
      </c>
      <c r="K15" s="1" t="str">
        <f t="shared" si="2"/>
        <v>Januar</v>
      </c>
      <c r="M15" s="1" t="str">
        <f t="shared" si="3"/>
        <v>#N/A</v>
      </c>
      <c r="N15" s="1" t="str">
        <f t="shared" si="4"/>
        <v>#N/A</v>
      </c>
      <c r="O15" s="1" t="str">
        <f t="shared" si="5"/>
        <v>#N/A</v>
      </c>
      <c r="P15" s="1" t="str">
        <f t="shared" si="6"/>
        <v>#N/A</v>
      </c>
      <c r="Q15" s="1" t="str">
        <f t="shared" si="7"/>
        <v>#N/A</v>
      </c>
      <c r="R15" s="1" t="str">
        <f t="shared" si="8"/>
        <v>#N/A</v>
      </c>
      <c r="S15" s="1">
        <f t="shared" si="9"/>
        <v>1</v>
      </c>
      <c r="T15" s="8">
        <f t="shared" si="10"/>
        <v>992.76</v>
      </c>
      <c r="U15" s="1" t="str">
        <f t="shared" si="11"/>
        <v>#N/A</v>
      </c>
      <c r="V15" s="1" t="str">
        <f t="shared" si="12"/>
        <v>#N/A</v>
      </c>
      <c r="W15" s="1" t="str">
        <f t="shared" si="13"/>
        <v>#N/A</v>
      </c>
      <c r="X15" s="1" t="str">
        <f t="shared" si="14"/>
        <v>#N/A</v>
      </c>
    </row>
    <row r="16">
      <c r="A16" s="1" t="str">
        <f>TRIM(CLEAN(PROPER(peakflow_q1_2025_dirty!A14)))</f>
        <v>D-1008</v>
      </c>
      <c r="B16" s="10">
        <f>DATEVALUE(TRIM(CLEAN(peakflow_q1_2025_dirty!B14)))</f>
        <v>45662</v>
      </c>
      <c r="C16" s="1" t="str">
        <f>TRIM(CLEAN(PROPER(peakflow_q1_2025_dirty!C14)))</f>
        <v>Phoenix Co</v>
      </c>
      <c r="D16" s="1" t="str">
        <f>TRIM(CLEAN(PROPER(peakflow_q1_2025_dirty!D14)))</f>
        <v>Pro Plan</v>
      </c>
      <c r="E16" s="1" t="str">
        <f>TRIM(CLEAN(PROPER(peakflow_q1_2025_dirty!E14)))</f>
        <v>Tom Wilson</v>
      </c>
      <c r="F16" s="1" t="str">
        <f>TRIM(CLEAN(PROPER(peakflow_q1_2025_dirty!F14)))</f>
        <v>Lukas Becker</v>
      </c>
      <c r="G16" s="1" t="str">
        <f>TRIM(CLEAN(UPPER(peakflow_q1_2025_dirty!G14)))</f>
        <v>LATAM</v>
      </c>
      <c r="H16" s="1">
        <f>VALUE(TRIM((CLEAN(peakflow_q1_2025_dirty!H14))))</f>
        <v>20</v>
      </c>
      <c r="I16" s="8">
        <f>VALUE(SUBSTITUTE(peakflow_q1_2025_dirty!I14,".","," ))</f>
        <v>249.04</v>
      </c>
      <c r="J16" s="8">
        <f t="shared" si="1"/>
        <v>4980.8</v>
      </c>
      <c r="K16" s="1" t="str">
        <f t="shared" si="2"/>
        <v>Januar</v>
      </c>
      <c r="M16" s="1" t="str">
        <f t="shared" si="3"/>
        <v>#N/A</v>
      </c>
      <c r="N16" s="1" t="str">
        <f t="shared" si="4"/>
        <v>#N/A</v>
      </c>
      <c r="O16" s="1" t="str">
        <f t="shared" si="5"/>
        <v>#N/A</v>
      </c>
      <c r="P16" s="1" t="str">
        <f t="shared" si="6"/>
        <v>#N/A</v>
      </c>
      <c r="Q16" s="1" t="str">
        <f t="shared" si="7"/>
        <v>#N/A</v>
      </c>
      <c r="R16" s="1" t="str">
        <f t="shared" si="8"/>
        <v>#N/A</v>
      </c>
      <c r="S16" s="1" t="str">
        <f t="shared" si="9"/>
        <v>#N/A</v>
      </c>
      <c r="T16" s="1" t="str">
        <f t="shared" si="10"/>
        <v>#N/A</v>
      </c>
      <c r="U16" s="1">
        <f t="shared" si="11"/>
        <v>20</v>
      </c>
      <c r="V16" s="8">
        <f t="shared" si="12"/>
        <v>249.04</v>
      </c>
      <c r="W16" s="1" t="str">
        <f t="shared" si="13"/>
        <v>#N/A</v>
      </c>
      <c r="X16" s="1" t="str">
        <f t="shared" si="14"/>
        <v>#N/A</v>
      </c>
    </row>
    <row r="17">
      <c r="A17" s="1" t="str">
        <f>TRIM(CLEAN(PROPER(peakflow_q1_2025_dirty!A15)))</f>
        <v>D-1071</v>
      </c>
      <c r="B17" s="10">
        <f>DATEVALUE(TRIM(CLEAN(peakflow_q1_2025_dirty!B15)))</f>
        <v>45662</v>
      </c>
      <c r="C17" s="1" t="str">
        <f>TRIM(CLEAN(PROPER(peakflow_q1_2025_dirty!C15)))</f>
        <v>Apex Group</v>
      </c>
      <c r="D17" s="1" t="str">
        <f>TRIM(CLEAN(PROPER(peakflow_q1_2025_dirty!D15)))</f>
        <v>Business Plan</v>
      </c>
      <c r="E17" s="1" t="str">
        <f>TRIM(CLEAN(PROPER(peakflow_q1_2025_dirty!E15)))</f>
        <v>David Kim</v>
      </c>
      <c r="F17" s="1" t="str">
        <f>TRIM(CLEAN(PROPER(peakflow_q1_2025_dirty!F15)))</f>
        <v>Sarah Chen</v>
      </c>
      <c r="G17" s="1" t="str">
        <f>TRIM(CLEAN(UPPER(peakflow_q1_2025_dirty!G15)))</f>
        <v>APAC</v>
      </c>
      <c r="H17" s="1">
        <f>VALUE(TRIM((CLEAN(peakflow_q1_2025_dirty!H15))))</f>
        <v>1</v>
      </c>
      <c r="I17" s="8">
        <f>VALUE(SUBSTITUTE(peakflow_q1_2025_dirty!I15,".","," ))</f>
        <v>386.52</v>
      </c>
      <c r="J17" s="8">
        <f t="shared" si="1"/>
        <v>386.52</v>
      </c>
      <c r="K17" s="1" t="str">
        <f t="shared" si="2"/>
        <v>Januar</v>
      </c>
      <c r="M17" s="1" t="str">
        <f t="shared" si="3"/>
        <v>#N/A</v>
      </c>
      <c r="N17" s="1" t="str">
        <f t="shared" si="4"/>
        <v>#N/A</v>
      </c>
      <c r="O17" s="1" t="str">
        <f t="shared" si="5"/>
        <v>#N/A</v>
      </c>
      <c r="P17" s="1" t="str">
        <f t="shared" si="6"/>
        <v>#N/A</v>
      </c>
      <c r="Q17" s="1">
        <f t="shared" si="7"/>
        <v>1</v>
      </c>
      <c r="R17" s="8">
        <f t="shared" si="8"/>
        <v>386.52</v>
      </c>
      <c r="S17" s="1" t="str">
        <f t="shared" si="9"/>
        <v>#N/A</v>
      </c>
      <c r="T17" s="1" t="str">
        <f t="shared" si="10"/>
        <v>#N/A</v>
      </c>
      <c r="U17" s="1" t="str">
        <f t="shared" si="11"/>
        <v>#N/A</v>
      </c>
      <c r="V17" s="1" t="str">
        <f t="shared" si="12"/>
        <v>#N/A</v>
      </c>
      <c r="W17" s="1" t="str">
        <f t="shared" si="13"/>
        <v>#N/A</v>
      </c>
      <c r="X17" s="1" t="str">
        <f t="shared" si="14"/>
        <v>#N/A</v>
      </c>
    </row>
    <row r="18">
      <c r="A18" s="1" t="str">
        <f>TRIM(CLEAN(PROPER(peakflow_q1_2025_dirty!A16)))</f>
        <v>D-1105</v>
      </c>
      <c r="B18" s="10">
        <f>DATEVALUE(TRIM(CLEAN(peakflow_q1_2025_dirty!B16)))</f>
        <v>45662</v>
      </c>
      <c r="C18" s="1" t="str">
        <f>TRIM(CLEAN(PROPER(peakflow_q1_2025_dirty!C16)))</f>
        <v>Kestrel Co</v>
      </c>
      <c r="D18" s="1" t="str">
        <f>TRIM(CLEAN(PROPER(peakflow_q1_2025_dirty!D16)))</f>
        <v>Pro Plan</v>
      </c>
      <c r="E18" s="1" t="str">
        <f>TRIM(CLEAN(PROPER(peakflow_q1_2025_dirty!E16)))</f>
        <v>Elena Rossi</v>
      </c>
      <c r="F18" s="1" t="str">
        <f>TRIM(CLEAN(PROPER(peakflow_q1_2025_dirty!F16)))</f>
        <v>Lukas Becker</v>
      </c>
      <c r="G18" s="1" t="str">
        <f>TRIM(CLEAN(PROPER(peakflow_q1_2025_dirty!G16)))</f>
        <v>North America</v>
      </c>
      <c r="H18" s="1">
        <f>VALUE(TRIM((CLEAN(peakflow_q1_2025_dirty!H16))))</f>
        <v>1</v>
      </c>
      <c r="I18" s="8">
        <f>VALUE(SUBSTITUTE(peakflow_q1_2025_dirty!I16,".","," ))</f>
        <v>226.12</v>
      </c>
      <c r="J18" s="8">
        <f t="shared" si="1"/>
        <v>226.12</v>
      </c>
      <c r="K18" s="1" t="str">
        <f t="shared" si="2"/>
        <v>Januar</v>
      </c>
      <c r="M18" s="1" t="str">
        <f t="shared" si="3"/>
        <v>#N/A</v>
      </c>
      <c r="N18" s="1" t="str">
        <f t="shared" si="4"/>
        <v>#N/A</v>
      </c>
      <c r="O18" s="1" t="str">
        <f t="shared" si="5"/>
        <v>#N/A</v>
      </c>
      <c r="P18" s="1" t="str">
        <f t="shared" si="6"/>
        <v>#N/A</v>
      </c>
      <c r="Q18" s="1" t="str">
        <f t="shared" si="7"/>
        <v>#N/A</v>
      </c>
      <c r="R18" s="1" t="str">
        <f t="shared" si="8"/>
        <v>#N/A</v>
      </c>
      <c r="S18" s="1" t="str">
        <f t="shared" si="9"/>
        <v>#N/A</v>
      </c>
      <c r="T18" s="1" t="str">
        <f t="shared" si="10"/>
        <v>#N/A</v>
      </c>
      <c r="U18" s="1">
        <f t="shared" si="11"/>
        <v>1</v>
      </c>
      <c r="V18" s="8">
        <f t="shared" si="12"/>
        <v>226.12</v>
      </c>
      <c r="W18" s="1" t="str">
        <f t="shared" si="13"/>
        <v>#N/A</v>
      </c>
      <c r="X18" s="1" t="str">
        <f t="shared" si="14"/>
        <v>#N/A</v>
      </c>
    </row>
    <row r="19">
      <c r="A19" s="1" t="str">
        <f>TRIM(CLEAN(PROPER(peakflow_q1_2025_dirty!A17)))</f>
        <v>D-1110</v>
      </c>
      <c r="B19" s="10">
        <f>DATEVALUE(TRIM(CLEAN(peakflow_q1_2025_dirty!B17)))</f>
        <v>45662</v>
      </c>
      <c r="C19" s="1" t="str">
        <f>TRIM(CLEAN(PROPER(peakflow_q1_2025_dirty!C17)))</f>
        <v>Rivet Co</v>
      </c>
      <c r="D19" s="1" t="str">
        <f>TRIM(CLEAN(PROPER(peakflow_q1_2025_dirty!D17)))</f>
        <v>Starter Plan</v>
      </c>
      <c r="E19" s="1" t="str">
        <f>TRIM(CLEAN(PROPER(peakflow_q1_2025_dirty!E17)))</f>
        <v>James Park</v>
      </c>
      <c r="F19" s="1" t="str">
        <f>TRIM(CLEAN(PROPER(peakflow_q1_2025_dirty!F17)))</f>
        <v>Owen Walsh</v>
      </c>
      <c r="G19" s="1" t="str">
        <f>TRIM(CLEAN(UPPER(peakflow_q1_2025_dirty!G17)))</f>
        <v>LATAM</v>
      </c>
      <c r="H19" s="1">
        <f>VALUE(TRIM((CLEAN(peakflow_q1_2025_dirty!H17))))</f>
        <v>1</v>
      </c>
      <c r="I19" s="8">
        <f>VALUE(SUBSTITUTE(peakflow_q1_2025_dirty!I17,".","," ))</f>
        <v>73.28</v>
      </c>
      <c r="J19" s="8">
        <f t="shared" si="1"/>
        <v>73.28</v>
      </c>
      <c r="K19" s="1" t="str">
        <f t="shared" si="2"/>
        <v>Januar</v>
      </c>
      <c r="M19" s="1" t="str">
        <f t="shared" si="3"/>
        <v>#N/A</v>
      </c>
      <c r="N19" s="1" t="str">
        <f t="shared" si="4"/>
        <v>#N/A</v>
      </c>
      <c r="O19" s="1" t="str">
        <f t="shared" si="5"/>
        <v>#N/A</v>
      </c>
      <c r="P19" s="1" t="str">
        <f t="shared" si="6"/>
        <v>#N/A</v>
      </c>
      <c r="Q19" s="1" t="str">
        <f t="shared" si="7"/>
        <v>#N/A</v>
      </c>
      <c r="R19" s="1" t="str">
        <f t="shared" si="8"/>
        <v>#N/A</v>
      </c>
      <c r="S19" s="1" t="str">
        <f t="shared" si="9"/>
        <v>#N/A</v>
      </c>
      <c r="T19" s="1" t="str">
        <f t="shared" si="10"/>
        <v>#N/A</v>
      </c>
      <c r="U19" s="1" t="str">
        <f t="shared" si="11"/>
        <v>#N/A</v>
      </c>
      <c r="V19" s="1" t="str">
        <f t="shared" si="12"/>
        <v>#N/A</v>
      </c>
      <c r="W19" s="1">
        <f t="shared" si="13"/>
        <v>1</v>
      </c>
      <c r="X19" s="8">
        <f t="shared" si="14"/>
        <v>73.28</v>
      </c>
    </row>
    <row r="20">
      <c r="A20" s="1" t="str">
        <f>TRIM(CLEAN(PROPER(peakflow_q1_2025_dirty!A18)))</f>
        <v>D-1112</v>
      </c>
      <c r="B20" s="10">
        <f>DATEVALUE(TRIM(CLEAN(peakflow_q1_2025_dirty!B18)))</f>
        <v>45662</v>
      </c>
      <c r="C20" s="1" t="str">
        <f>TRIM(CLEAN(PROPER(peakflow_q1_2025_dirty!C18)))</f>
        <v>Borealis Co</v>
      </c>
      <c r="D20" s="1" t="str">
        <f>TRIM(CLEAN(PROPER(peakflow_q1_2025_dirty!D18)))</f>
        <v>Starter Plan</v>
      </c>
      <c r="E20" s="1" t="str">
        <f>TRIM(CLEAN(PROPER(peakflow_q1_2025_dirty!E18)))</f>
        <v>Hannah Lee</v>
      </c>
      <c r="F20" s="1" t="str">
        <f>TRIM(CLEAN(PROPER(peakflow_q1_2025_dirty!F18)))</f>
        <v>Owen Walsh</v>
      </c>
      <c r="G20" s="1" t="str">
        <f>TRIM(CLEAN(UPPER(peakflow_q1_2025_dirty!G18)))</f>
        <v>EMEA</v>
      </c>
      <c r="H20" s="1">
        <f>VALUE(TRIM((CLEAN(peakflow_q1_2025_dirty!H18))))</f>
        <v>5</v>
      </c>
      <c r="I20" s="8">
        <f>VALUE(SUBSTITUTE(peakflow_q1_2025_dirty!I18,".","," ))</f>
        <v>45.99</v>
      </c>
      <c r="J20" s="8">
        <f t="shared" si="1"/>
        <v>229.95</v>
      </c>
      <c r="K20" s="1" t="str">
        <f t="shared" si="2"/>
        <v>Januar</v>
      </c>
      <c r="M20" s="1" t="str">
        <f t="shared" si="3"/>
        <v>#N/A</v>
      </c>
      <c r="N20" s="1" t="str">
        <f t="shared" si="4"/>
        <v>#N/A</v>
      </c>
      <c r="O20" s="1" t="str">
        <f t="shared" si="5"/>
        <v>#N/A</v>
      </c>
      <c r="P20" s="1" t="str">
        <f t="shared" si="6"/>
        <v>#N/A</v>
      </c>
      <c r="Q20" s="1" t="str">
        <f t="shared" si="7"/>
        <v>#N/A</v>
      </c>
      <c r="R20" s="1" t="str">
        <f t="shared" si="8"/>
        <v>#N/A</v>
      </c>
      <c r="S20" s="1" t="str">
        <f t="shared" si="9"/>
        <v>#N/A</v>
      </c>
      <c r="T20" s="1" t="str">
        <f t="shared" si="10"/>
        <v>#N/A</v>
      </c>
      <c r="U20" s="1" t="str">
        <f t="shared" si="11"/>
        <v>#N/A</v>
      </c>
      <c r="V20" s="1" t="str">
        <f t="shared" si="12"/>
        <v>#N/A</v>
      </c>
      <c r="W20" s="1">
        <f t="shared" si="13"/>
        <v>5</v>
      </c>
      <c r="X20" s="8">
        <f t="shared" si="14"/>
        <v>45.99</v>
      </c>
    </row>
    <row r="21">
      <c r="A21" s="1" t="str">
        <f>TRIM(CLEAN(PROPER(peakflow_q1_2025_dirty!A19)))</f>
        <v>D-1132</v>
      </c>
      <c r="B21" s="10">
        <f>DATEVALUE(TRIM(CLEAN(peakflow_q1_2025_dirty!B19)))</f>
        <v>45662</v>
      </c>
      <c r="C21" s="1" t="str">
        <f>TRIM(CLEAN(PROPER(peakflow_q1_2025_dirty!C19)))</f>
        <v>Quanta Labs</v>
      </c>
      <c r="D21" s="1" t="str">
        <f>TRIM(CLEAN(PROPER(peakflow_q1_2025_dirty!D19)))</f>
        <v>Starter Plan</v>
      </c>
      <c r="E21" s="1" t="str">
        <f>TRIM(CLEAN(PROPER(peakflow_q1_2025_dirty!E19)))</f>
        <v>Hannah Lee</v>
      </c>
      <c r="F21" s="1" t="str">
        <f>TRIM(CLEAN(PROPER(peakflow_q1_2025_dirty!F19)))</f>
        <v>Owen Walsh</v>
      </c>
      <c r="G21" s="1" t="str">
        <f>TRIM(CLEAN(UPPER(peakflow_q1_2025_dirty!G19)))</f>
        <v>APAC</v>
      </c>
      <c r="H21" s="1">
        <f>VALUE(TRIM((CLEAN(peakflow_q1_2025_dirty!H19))))</f>
        <v>50</v>
      </c>
      <c r="I21" s="8">
        <f>VALUE(SUBSTITUTE(peakflow_q1_2025_dirty!I19,".","," ))</f>
        <v>70.68</v>
      </c>
      <c r="J21" s="8">
        <f t="shared" si="1"/>
        <v>3534</v>
      </c>
      <c r="K21" s="1" t="str">
        <f t="shared" si="2"/>
        <v>Januar</v>
      </c>
      <c r="M21" s="1" t="str">
        <f t="shared" si="3"/>
        <v>#N/A</v>
      </c>
      <c r="N21" s="1" t="str">
        <f t="shared" si="4"/>
        <v>#N/A</v>
      </c>
      <c r="O21" s="1" t="str">
        <f t="shared" si="5"/>
        <v>#N/A</v>
      </c>
      <c r="P21" s="1" t="str">
        <f t="shared" si="6"/>
        <v>#N/A</v>
      </c>
      <c r="Q21" s="1" t="str">
        <f t="shared" si="7"/>
        <v>#N/A</v>
      </c>
      <c r="R21" s="1" t="str">
        <f t="shared" si="8"/>
        <v>#N/A</v>
      </c>
      <c r="S21" s="1" t="str">
        <f t="shared" si="9"/>
        <v>#N/A</v>
      </c>
      <c r="T21" s="1" t="str">
        <f t="shared" si="10"/>
        <v>#N/A</v>
      </c>
      <c r="U21" s="1" t="str">
        <f t="shared" si="11"/>
        <v>#N/A</v>
      </c>
      <c r="V21" s="1" t="str">
        <f t="shared" si="12"/>
        <v>#N/A</v>
      </c>
      <c r="W21" s="1">
        <f t="shared" si="13"/>
        <v>50</v>
      </c>
      <c r="X21" s="8">
        <f t="shared" si="14"/>
        <v>70.68</v>
      </c>
    </row>
    <row r="22">
      <c r="A22" s="1" t="str">
        <f>TRIM(CLEAN(PROPER(peakflow_q1_2025_dirty!A20)))</f>
        <v>D-1150</v>
      </c>
      <c r="B22" s="10">
        <f>DATEVALUE(TRIM(CLEAN(peakflow_q1_2025_dirty!B20)))</f>
        <v>45662</v>
      </c>
      <c r="C22" s="1" t="str">
        <f>TRIM(CLEAN(PROPER(peakflow_q1_2025_dirty!C20)))</f>
        <v>Nimbus Co</v>
      </c>
      <c r="D22" s="1" t="str">
        <f>TRIM(CLEAN(PROPER(peakflow_q1_2025_dirty!D20)))</f>
        <v>Pro Plan</v>
      </c>
      <c r="E22" s="1" t="str">
        <f>TRIM(CLEAN(PROPER(peakflow_q1_2025_dirty!E20)))</f>
        <v>James Park</v>
      </c>
      <c r="F22" s="1" t="str">
        <f>TRIM(CLEAN(PROPER(peakflow_q1_2025_dirty!F20)))</f>
        <v>Owen Walsh</v>
      </c>
      <c r="G22" s="1" t="str">
        <f>TRIM(CLEAN(UPPER(peakflow_q1_2025_dirty!G20)))</f>
        <v>EMEA</v>
      </c>
      <c r="H22" s="1">
        <f>VALUE(TRIM((CLEAN(peakflow_q1_2025_dirty!H20))))</f>
        <v>20</v>
      </c>
      <c r="I22" s="8">
        <f>VALUE(SUBSTITUTE(peakflow_q1_2025_dirty!I20,".","," ))</f>
        <v>192.21</v>
      </c>
      <c r="J22" s="8">
        <f t="shared" si="1"/>
        <v>3844.2</v>
      </c>
      <c r="K22" s="1" t="str">
        <f t="shared" si="2"/>
        <v>Januar</v>
      </c>
      <c r="M22" s="1" t="str">
        <f t="shared" si="3"/>
        <v>#N/A</v>
      </c>
      <c r="N22" s="1" t="str">
        <f t="shared" si="4"/>
        <v>#N/A</v>
      </c>
      <c r="O22" s="1" t="str">
        <f t="shared" si="5"/>
        <v>#N/A</v>
      </c>
      <c r="P22" s="1" t="str">
        <f t="shared" si="6"/>
        <v>#N/A</v>
      </c>
      <c r="Q22" s="1" t="str">
        <f t="shared" si="7"/>
        <v>#N/A</v>
      </c>
      <c r="R22" s="1" t="str">
        <f t="shared" si="8"/>
        <v>#N/A</v>
      </c>
      <c r="S22" s="1" t="str">
        <f t="shared" si="9"/>
        <v>#N/A</v>
      </c>
      <c r="T22" s="1" t="str">
        <f t="shared" si="10"/>
        <v>#N/A</v>
      </c>
      <c r="U22" s="1">
        <f t="shared" si="11"/>
        <v>20</v>
      </c>
      <c r="V22" s="8">
        <f t="shared" si="12"/>
        <v>192.21</v>
      </c>
      <c r="W22" s="1" t="str">
        <f t="shared" si="13"/>
        <v>#N/A</v>
      </c>
      <c r="X22" s="1" t="str">
        <f t="shared" si="14"/>
        <v>#N/A</v>
      </c>
    </row>
    <row r="23">
      <c r="A23" s="1" t="str">
        <f>TRIM(CLEAN(PROPER(peakflow_q1_2025_dirty!A21)))</f>
        <v>D-1194</v>
      </c>
      <c r="B23" s="10">
        <f>DATEVALUE(TRIM(CLEAN(peakflow_q1_2025_dirty!B21)))</f>
        <v>45662</v>
      </c>
      <c r="C23" s="1" t="str">
        <f>TRIM(CLEAN(PROPER(peakflow_q1_2025_dirty!C21)))</f>
        <v>Onyx Group</v>
      </c>
      <c r="D23" s="1" t="str">
        <f>TRIM(CLEAN(PROPER(peakflow_q1_2025_dirty!D21)))</f>
        <v>Pro Plan</v>
      </c>
      <c r="E23" s="1" t="str">
        <f>TRIM(CLEAN(PROPER(peakflow_q1_2025_dirty!E21)))</f>
        <v>Sophie Laurent</v>
      </c>
      <c r="F23" s="1" t="str">
        <f>TRIM(CLEAN(PROPER(peakflow_q1_2025_dirty!F21)))</f>
        <v>Maya Rodriguez</v>
      </c>
      <c r="G23" s="1" t="str">
        <f>TRIM(CLEAN(PROPER(peakflow_q1_2025_dirty!G21)))</f>
        <v>North America</v>
      </c>
      <c r="H23" s="1">
        <f>VALUE(TRIM((CLEAN(peakflow_q1_2025_dirty!H21))))</f>
        <v>2</v>
      </c>
      <c r="I23" s="8">
        <f>VALUE(SUBSTITUTE(peakflow_q1_2025_dirty!I21,".","," ))</f>
        <v>193.5</v>
      </c>
      <c r="J23" s="8">
        <f t="shared" si="1"/>
        <v>387</v>
      </c>
      <c r="K23" s="1" t="str">
        <f t="shared" si="2"/>
        <v>Januar</v>
      </c>
      <c r="M23" s="1" t="str">
        <f t="shared" si="3"/>
        <v>#N/A</v>
      </c>
      <c r="N23" s="1" t="str">
        <f t="shared" si="4"/>
        <v>#N/A</v>
      </c>
      <c r="O23" s="1" t="str">
        <f t="shared" si="5"/>
        <v>#N/A</v>
      </c>
      <c r="P23" s="1" t="str">
        <f t="shared" si="6"/>
        <v>#N/A</v>
      </c>
      <c r="Q23" s="1" t="str">
        <f t="shared" si="7"/>
        <v>#N/A</v>
      </c>
      <c r="R23" s="1" t="str">
        <f t="shared" si="8"/>
        <v>#N/A</v>
      </c>
      <c r="S23" s="1" t="str">
        <f t="shared" si="9"/>
        <v>#N/A</v>
      </c>
      <c r="T23" s="1" t="str">
        <f t="shared" si="10"/>
        <v>#N/A</v>
      </c>
      <c r="U23" s="1">
        <f t="shared" si="11"/>
        <v>2</v>
      </c>
      <c r="V23" s="8">
        <f t="shared" si="12"/>
        <v>193.5</v>
      </c>
      <c r="W23" s="1" t="str">
        <f t="shared" si="13"/>
        <v>#N/A</v>
      </c>
      <c r="X23" s="1" t="str">
        <f t="shared" si="14"/>
        <v>#N/A</v>
      </c>
    </row>
    <row r="24">
      <c r="A24" s="1" t="str">
        <f>TRIM(CLEAN(PROPER(peakflow_q1_2025_dirty!A22)))</f>
        <v>D-1091</v>
      </c>
      <c r="B24" s="10">
        <f>DATEVALUE(TRIM(CLEAN(peakflow_q1_2025_dirty!B22)))</f>
        <v>45663</v>
      </c>
      <c r="C24" s="1" t="str">
        <f>TRIM(CLEAN(PROPER(peakflow_q1_2025_dirty!C22)))</f>
        <v>Fusion Group</v>
      </c>
      <c r="D24" s="1" t="str">
        <f>TRIM(CLEAN(PROPER(peakflow_q1_2025_dirty!D22)))</f>
        <v>Starter Plan</v>
      </c>
      <c r="E24" s="1" t="str">
        <f>TRIM(CLEAN(PROPER(peakflow_q1_2025_dirty!E22)))</f>
        <v>Marcus Johnson</v>
      </c>
      <c r="F24" s="1" t="str">
        <f>TRIM(CLEAN(PROPER(peakflow_q1_2025_dirty!F22)))</f>
        <v>Sarah Chen</v>
      </c>
      <c r="G24" s="1" t="str">
        <f>TRIM(CLEAN(UPPER(peakflow_q1_2025_dirty!G22)))</f>
        <v>APAC</v>
      </c>
      <c r="H24" s="1">
        <f>VALUE(TRIM((CLEAN(peakflow_q1_2025_dirty!H22))))</f>
        <v>1</v>
      </c>
      <c r="I24" s="8">
        <f>VALUE(SUBSTITUTE(peakflow_q1_2025_dirty!I22,".","," ))</f>
        <v>53.39</v>
      </c>
      <c r="J24" s="8">
        <f t="shared" si="1"/>
        <v>53.39</v>
      </c>
      <c r="K24" s="1" t="str">
        <f t="shared" si="2"/>
        <v>Januar</v>
      </c>
      <c r="M24" s="1" t="str">
        <f t="shared" si="3"/>
        <v>#N/A</v>
      </c>
      <c r="N24" s="1" t="str">
        <f t="shared" si="4"/>
        <v>#N/A</v>
      </c>
      <c r="O24" s="1" t="str">
        <f t="shared" si="5"/>
        <v>#N/A</v>
      </c>
      <c r="P24" s="1" t="str">
        <f t="shared" si="6"/>
        <v>#N/A</v>
      </c>
      <c r="Q24" s="1" t="str">
        <f t="shared" si="7"/>
        <v>#N/A</v>
      </c>
      <c r="R24" s="1" t="str">
        <f t="shared" si="8"/>
        <v>#N/A</v>
      </c>
      <c r="S24" s="1" t="str">
        <f t="shared" si="9"/>
        <v>#N/A</v>
      </c>
      <c r="T24" s="1" t="str">
        <f t="shared" si="10"/>
        <v>#N/A</v>
      </c>
      <c r="U24" s="1" t="str">
        <f t="shared" si="11"/>
        <v>#N/A</v>
      </c>
      <c r="V24" s="1" t="str">
        <f t="shared" si="12"/>
        <v>#N/A</v>
      </c>
      <c r="W24" s="1">
        <f t="shared" si="13"/>
        <v>1</v>
      </c>
      <c r="X24" s="8">
        <f t="shared" si="14"/>
        <v>53.39</v>
      </c>
    </row>
    <row r="25">
      <c r="A25" s="1" t="str">
        <f>TRIM(CLEAN(PROPER(peakflow_q1_2025_dirty!A23)))</f>
        <v>D-1092</v>
      </c>
      <c r="B25" s="10">
        <f>DATEVALUE(TRIM(CLEAN(peakflow_q1_2025_dirty!B23)))</f>
        <v>45663</v>
      </c>
      <c r="C25" s="1" t="str">
        <f>TRIM(CLEAN(PROPER(peakflow_q1_2025_dirty!C23)))</f>
        <v>Summit Group</v>
      </c>
      <c r="D25" s="1" t="str">
        <f>TRIM(CLEAN(PROPER(peakflow_q1_2025_dirty!D23)))</f>
        <v>Pro Plan</v>
      </c>
      <c r="E25" s="1" t="str">
        <f>TRIM(CLEAN(PROPER(peakflow_q1_2025_dirty!E23)))</f>
        <v>Carlos Mendez</v>
      </c>
      <c r="F25" s="1" t="str">
        <f>TRIM(CLEAN(PROPER(peakflow_q1_2025_dirty!F23)))</f>
        <v>Maya Rodriguez</v>
      </c>
      <c r="G25" s="1" t="str">
        <f>TRIM(CLEAN(UPPER(peakflow_q1_2025_dirty!G23)))</f>
        <v>APAC</v>
      </c>
      <c r="H25" s="1">
        <f>VALUE(TRIM((CLEAN(peakflow_q1_2025_dirty!H23))))</f>
        <v>1</v>
      </c>
      <c r="I25" s="8">
        <f>VALUE(SUBSTITUTE(peakflow_q1_2025_dirty!I23,".","," ))</f>
        <v>202.22</v>
      </c>
      <c r="J25" s="8">
        <f t="shared" si="1"/>
        <v>202.22</v>
      </c>
      <c r="K25" s="1" t="str">
        <f t="shared" si="2"/>
        <v>Januar</v>
      </c>
      <c r="M25" s="1" t="str">
        <f t="shared" si="3"/>
        <v>#N/A</v>
      </c>
      <c r="N25" s="1" t="str">
        <f t="shared" si="4"/>
        <v>#N/A</v>
      </c>
      <c r="O25" s="1" t="str">
        <f t="shared" si="5"/>
        <v>#N/A</v>
      </c>
      <c r="P25" s="1" t="str">
        <f t="shared" si="6"/>
        <v>#N/A</v>
      </c>
      <c r="Q25" s="1" t="str">
        <f t="shared" si="7"/>
        <v>#N/A</v>
      </c>
      <c r="R25" s="1" t="str">
        <f t="shared" si="8"/>
        <v>#N/A</v>
      </c>
      <c r="S25" s="1" t="str">
        <f t="shared" si="9"/>
        <v>#N/A</v>
      </c>
      <c r="T25" s="1" t="str">
        <f t="shared" si="10"/>
        <v>#N/A</v>
      </c>
      <c r="U25" s="1">
        <f t="shared" si="11"/>
        <v>1</v>
      </c>
      <c r="V25" s="8">
        <f t="shared" si="12"/>
        <v>202.22</v>
      </c>
      <c r="W25" s="1" t="str">
        <f t="shared" si="13"/>
        <v>#N/A</v>
      </c>
      <c r="X25" s="1" t="str">
        <f t="shared" si="14"/>
        <v>#N/A</v>
      </c>
    </row>
    <row r="26">
      <c r="A26" s="1" t="str">
        <f>TRIM(CLEAN(PROPER(peakflow_q1_2025_dirty!A24)))</f>
        <v>D-1211</v>
      </c>
      <c r="B26" s="10">
        <f>DATEVALUE(TRIM(CLEAN(peakflow_q1_2025_dirty!B24)))</f>
        <v>45663</v>
      </c>
      <c r="C26" s="1" t="str">
        <f>TRIM(CLEAN(PROPER(peakflow_q1_2025_dirty!C24)))</f>
        <v>Apex Group</v>
      </c>
      <c r="D26" s="1" t="str">
        <f>TRIM(CLEAN(PROPER(peakflow_q1_2025_dirty!D24)))</f>
        <v>Add-On: Analytics</v>
      </c>
      <c r="E26" s="1" t="str">
        <f>TRIM(CLEAN(PROPER(peakflow_q1_2025_dirty!E24)))</f>
        <v>James Park</v>
      </c>
      <c r="F26" s="1" t="str">
        <f>TRIM(CLEAN(PROPER(peakflow_q1_2025_dirty!F24)))</f>
        <v>Owen Walsh</v>
      </c>
      <c r="G26" s="1" t="str">
        <f>TRIM(CLEAN(UPPER(peakflow_q1_2025_dirty!G24)))</f>
        <v>LATAM</v>
      </c>
      <c r="H26" s="1">
        <f>VALUE(TRIM((CLEAN(peakflow_q1_2025_dirty!H24))))</f>
        <v>5</v>
      </c>
      <c r="I26" s="8">
        <f>VALUE(SUBSTITUTE(peakflow_q1_2025_dirty!I24,".","," ))</f>
        <v>69.69</v>
      </c>
      <c r="J26" s="8">
        <f t="shared" si="1"/>
        <v>348.45</v>
      </c>
      <c r="K26" s="1" t="str">
        <f t="shared" si="2"/>
        <v>Januar</v>
      </c>
      <c r="M26" s="1">
        <f t="shared" si="3"/>
        <v>5</v>
      </c>
      <c r="N26" s="8">
        <f t="shared" si="4"/>
        <v>69.69</v>
      </c>
      <c r="O26" s="1" t="str">
        <f t="shared" si="5"/>
        <v>#N/A</v>
      </c>
      <c r="P26" s="1" t="str">
        <f t="shared" si="6"/>
        <v>#N/A</v>
      </c>
      <c r="Q26" s="1" t="str">
        <f t="shared" si="7"/>
        <v>#N/A</v>
      </c>
      <c r="R26" s="1" t="str">
        <f t="shared" si="8"/>
        <v>#N/A</v>
      </c>
      <c r="S26" s="1" t="str">
        <f t="shared" si="9"/>
        <v>#N/A</v>
      </c>
      <c r="T26" s="1" t="str">
        <f t="shared" si="10"/>
        <v>#N/A</v>
      </c>
      <c r="U26" s="1" t="str">
        <f t="shared" si="11"/>
        <v>#N/A</v>
      </c>
      <c r="V26" s="1" t="str">
        <f t="shared" si="12"/>
        <v>#N/A</v>
      </c>
      <c r="W26" s="1" t="str">
        <f t="shared" si="13"/>
        <v>#N/A</v>
      </c>
      <c r="X26" s="1" t="str">
        <f t="shared" si="14"/>
        <v>#N/A</v>
      </c>
    </row>
    <row r="27">
      <c r="A27" s="1" t="str">
        <f>TRIM(CLEAN(PROPER(peakflow_q1_2025_dirty!A25)))</f>
        <v>D-1063</v>
      </c>
      <c r="B27" s="10">
        <f>DATEVALUE(TRIM(CLEAN(peakflow_q1_2025_dirty!B25)))</f>
        <v>45664</v>
      </c>
      <c r="C27" s="1" t="str">
        <f>TRIM(CLEAN(PROPER(peakflow_q1_2025_dirty!C25)))</f>
        <v>Granite Co</v>
      </c>
      <c r="D27" s="1" t="str">
        <f>TRIM(CLEAN(PROPER(peakflow_q1_2025_dirty!D25)))</f>
        <v>Add-On: Support</v>
      </c>
      <c r="E27" s="1" t="str">
        <f>TRIM(CLEAN(PROPER(peakflow_q1_2025_dirty!E25)))</f>
        <v>Marcus Johnson</v>
      </c>
      <c r="F27" s="1" t="str">
        <f>TRIM(CLEAN(PROPER(peakflow_q1_2025_dirty!F25)))</f>
        <v>Sarah Chen</v>
      </c>
      <c r="G27" s="1" t="str">
        <f>TRIM(CLEAN(PROPER(peakflow_q1_2025_dirty!G25)))</f>
        <v>North America</v>
      </c>
      <c r="H27" s="1">
        <f>VALUE(TRIM((CLEAN(peakflow_q1_2025_dirty!H25))))</f>
        <v>1</v>
      </c>
      <c r="I27" s="8">
        <f>VALUE(SUBSTITUTE(peakflow_q1_2025_dirty!I25,".","," ))</f>
        <v>93.27</v>
      </c>
      <c r="J27" s="8">
        <f t="shared" si="1"/>
        <v>93.27</v>
      </c>
      <c r="K27" s="1" t="str">
        <f t="shared" si="2"/>
        <v>Januar</v>
      </c>
      <c r="M27" s="1" t="str">
        <f t="shared" si="3"/>
        <v>#N/A</v>
      </c>
      <c r="N27" s="1" t="str">
        <f t="shared" si="4"/>
        <v>#N/A</v>
      </c>
      <c r="O27" s="1">
        <f t="shared" si="5"/>
        <v>1</v>
      </c>
      <c r="P27" s="8">
        <f t="shared" si="6"/>
        <v>93.27</v>
      </c>
      <c r="Q27" s="1" t="str">
        <f t="shared" si="7"/>
        <v>#N/A</v>
      </c>
      <c r="R27" s="1" t="str">
        <f t="shared" si="8"/>
        <v>#N/A</v>
      </c>
      <c r="S27" s="1" t="str">
        <f t="shared" si="9"/>
        <v>#N/A</v>
      </c>
      <c r="T27" s="1" t="str">
        <f t="shared" si="10"/>
        <v>#N/A</v>
      </c>
      <c r="U27" s="1" t="str">
        <f t="shared" si="11"/>
        <v>#N/A</v>
      </c>
      <c r="V27" s="1" t="str">
        <f t="shared" si="12"/>
        <v>#N/A</v>
      </c>
      <c r="W27" s="1" t="str">
        <f t="shared" si="13"/>
        <v>#N/A</v>
      </c>
      <c r="X27" s="1" t="str">
        <f t="shared" si="14"/>
        <v>#N/A</v>
      </c>
    </row>
    <row r="28">
      <c r="A28" s="1" t="str">
        <f>TRIM(CLEAN(PROPER(peakflow_q1_2025_dirty!A26)))</f>
        <v>D-1206</v>
      </c>
      <c r="B28" s="10">
        <f>DATEVALUE(TRIM(CLEAN(peakflow_q1_2025_dirty!B26)))</f>
        <v>45664</v>
      </c>
      <c r="C28" s="1" t="str">
        <f>TRIM(CLEAN(PROPER(peakflow_q1_2025_dirty!C26)))</f>
        <v>Stellar Co</v>
      </c>
      <c r="D28" s="1" t="str">
        <f>TRIM(CLEAN(PROPER(peakflow_q1_2025_dirty!D26)))</f>
        <v>Add-On: Analytics</v>
      </c>
      <c r="E28" s="1" t="str">
        <f>TRIM(CLEAN(PROPER(peakflow_q1_2025_dirty!E26)))</f>
        <v>Elena Rossi</v>
      </c>
      <c r="F28" s="1" t="str">
        <f>TRIM(CLEAN(PROPER(peakflow_q1_2025_dirty!F26)))</f>
        <v>Lukas Becker</v>
      </c>
      <c r="G28" s="1" t="str">
        <f>TRIM(CLEAN(UPPER(peakflow_q1_2025_dirty!G26)))</f>
        <v>APAC</v>
      </c>
      <c r="H28" s="1">
        <f>VALUE(TRIM((CLEAN(peakflow_q1_2025_dirty!H26))))</f>
        <v>5</v>
      </c>
      <c r="I28" s="8">
        <f>VALUE(SUBSTITUTE(peakflow_q1_2025_dirty!I26,".","," ))</f>
        <v>74.69</v>
      </c>
      <c r="J28" s="8">
        <f t="shared" si="1"/>
        <v>373.45</v>
      </c>
      <c r="K28" s="1" t="str">
        <f t="shared" si="2"/>
        <v>Januar</v>
      </c>
      <c r="M28" s="1">
        <f t="shared" si="3"/>
        <v>5</v>
      </c>
      <c r="N28" s="8">
        <f t="shared" si="4"/>
        <v>74.69</v>
      </c>
      <c r="O28" s="1" t="str">
        <f t="shared" si="5"/>
        <v>#N/A</v>
      </c>
      <c r="P28" s="1" t="str">
        <f t="shared" si="6"/>
        <v>#N/A</v>
      </c>
      <c r="Q28" s="1" t="str">
        <f t="shared" si="7"/>
        <v>#N/A</v>
      </c>
      <c r="R28" s="1" t="str">
        <f t="shared" si="8"/>
        <v>#N/A</v>
      </c>
      <c r="S28" s="1" t="str">
        <f t="shared" si="9"/>
        <v>#N/A</v>
      </c>
      <c r="T28" s="1" t="str">
        <f t="shared" si="10"/>
        <v>#N/A</v>
      </c>
      <c r="U28" s="1" t="str">
        <f t="shared" si="11"/>
        <v>#N/A</v>
      </c>
      <c r="V28" s="1" t="str">
        <f t="shared" si="12"/>
        <v>#N/A</v>
      </c>
      <c r="W28" s="1" t="str">
        <f t="shared" si="13"/>
        <v>#N/A</v>
      </c>
      <c r="X28" s="1" t="str">
        <f t="shared" si="14"/>
        <v>#N/A</v>
      </c>
    </row>
    <row r="29">
      <c r="A29" s="1" t="str">
        <f>TRIM(CLEAN(PROPER(peakflow_q1_2025_dirty!A27)))</f>
        <v>D-1123</v>
      </c>
      <c r="B29" s="10">
        <f>DATEVALUE(TRIM(CLEAN(peakflow_q1_2025_dirty!B27)))</f>
        <v>45665</v>
      </c>
      <c r="C29" s="1" t="str">
        <f>TRIM(CLEAN(PROPER(peakflow_q1_2025_dirty!C27)))</f>
        <v>Nimbus Co</v>
      </c>
      <c r="D29" s="1" t="str">
        <f>TRIM(CLEAN(PROPER(peakflow_q1_2025_dirty!D27)))</f>
        <v>Add-On: Support</v>
      </c>
      <c r="E29" s="1" t="str">
        <f>TRIM(CLEAN(PROPER(peakflow_q1_2025_dirty!E27)))</f>
        <v>Tom Wilson</v>
      </c>
      <c r="F29" s="1" t="str">
        <f>TRIM(CLEAN(PROPER(peakflow_q1_2025_dirty!F27)))</f>
        <v>Lukas Becker</v>
      </c>
      <c r="G29" s="1" t="str">
        <f>TRIM(CLEAN(UPPER(peakflow_q1_2025_dirty!G27)))</f>
        <v>LATAM</v>
      </c>
      <c r="H29" s="1">
        <f>VALUE(TRIM((CLEAN(peakflow_q1_2025_dirty!H27))))</f>
        <v>1</v>
      </c>
      <c r="I29" s="8">
        <f>VALUE(SUBSTITUTE(peakflow_q1_2025_dirty!I27,".","," ))</f>
        <v>92.92</v>
      </c>
      <c r="J29" s="8">
        <f t="shared" si="1"/>
        <v>92.92</v>
      </c>
      <c r="K29" s="1" t="str">
        <f t="shared" si="2"/>
        <v>Januar</v>
      </c>
      <c r="M29" s="1" t="str">
        <f t="shared" si="3"/>
        <v>#N/A</v>
      </c>
      <c r="N29" s="1" t="str">
        <f t="shared" si="4"/>
        <v>#N/A</v>
      </c>
      <c r="O29" s="1">
        <f t="shared" si="5"/>
        <v>1</v>
      </c>
      <c r="P29" s="8">
        <f t="shared" si="6"/>
        <v>92.92</v>
      </c>
      <c r="Q29" s="1" t="str">
        <f t="shared" si="7"/>
        <v>#N/A</v>
      </c>
      <c r="R29" s="1" t="str">
        <f t="shared" si="8"/>
        <v>#N/A</v>
      </c>
      <c r="S29" s="1" t="str">
        <f t="shared" si="9"/>
        <v>#N/A</v>
      </c>
      <c r="T29" s="1" t="str">
        <f t="shared" si="10"/>
        <v>#N/A</v>
      </c>
      <c r="U29" s="1" t="str">
        <f t="shared" si="11"/>
        <v>#N/A</v>
      </c>
      <c r="V29" s="1" t="str">
        <f t="shared" si="12"/>
        <v>#N/A</v>
      </c>
      <c r="W29" s="1" t="str">
        <f t="shared" si="13"/>
        <v>#N/A</v>
      </c>
      <c r="X29" s="1" t="str">
        <f t="shared" si="14"/>
        <v>#N/A</v>
      </c>
    </row>
    <row r="30">
      <c r="A30" s="1" t="str">
        <f>TRIM(CLEAN(PROPER(peakflow_q1_2025_dirty!A28)))</f>
        <v>D-1121</v>
      </c>
      <c r="B30" s="10">
        <f>DATEVALUE(TRIM(CLEAN(peakflow_q1_2025_dirty!B28)))</f>
        <v>45666</v>
      </c>
      <c r="C30" s="1" t="str">
        <f>TRIM(CLEAN(PROPER(peakflow_q1_2025_dirty!C28)))</f>
        <v>Nova Inc</v>
      </c>
      <c r="D30" s="1" t="str">
        <f>TRIM(CLEAN(PROPER(peakflow_q1_2025_dirty!D28)))</f>
        <v>Enterprise Plan</v>
      </c>
      <c r="E30" s="1" t="str">
        <f>TRIM(CLEAN(PROPER(peakflow_q1_2025_dirty!E28)))</f>
        <v>Priya Patel</v>
      </c>
      <c r="F30" s="1" t="str">
        <f>TRIM(CLEAN(PROPER(peakflow_q1_2025_dirty!F28)))</f>
        <v>Maya Rodriguez</v>
      </c>
      <c r="G30" s="1" t="str">
        <f>TRIM(CLEAN(UPPER(peakflow_q1_2025_dirty!G28)))</f>
        <v>APAC</v>
      </c>
      <c r="H30" s="1">
        <f>VALUE(TRIM((CLEAN(peakflow_q1_2025_dirty!H28))))</f>
        <v>1</v>
      </c>
      <c r="I30" s="8">
        <f>VALUE(SUBSTITUTE(peakflow_q1_2025_dirty!I28,".","," ))</f>
        <v>1388.69</v>
      </c>
      <c r="J30" s="8">
        <f t="shared" si="1"/>
        <v>1388.69</v>
      </c>
      <c r="K30" s="1" t="str">
        <f t="shared" si="2"/>
        <v>Januar</v>
      </c>
      <c r="M30" s="1" t="str">
        <f t="shared" si="3"/>
        <v>#N/A</v>
      </c>
      <c r="N30" s="1" t="str">
        <f t="shared" si="4"/>
        <v>#N/A</v>
      </c>
      <c r="O30" s="1" t="str">
        <f t="shared" si="5"/>
        <v>#N/A</v>
      </c>
      <c r="P30" s="1" t="str">
        <f t="shared" si="6"/>
        <v>#N/A</v>
      </c>
      <c r="Q30" s="1" t="str">
        <f t="shared" si="7"/>
        <v>#N/A</v>
      </c>
      <c r="R30" s="1" t="str">
        <f t="shared" si="8"/>
        <v>#N/A</v>
      </c>
      <c r="S30" s="1">
        <f t="shared" si="9"/>
        <v>1</v>
      </c>
      <c r="T30" s="8">
        <f t="shared" si="10"/>
        <v>1388.69</v>
      </c>
      <c r="U30" s="1" t="str">
        <f t="shared" si="11"/>
        <v>#N/A</v>
      </c>
      <c r="V30" s="1" t="str">
        <f t="shared" si="12"/>
        <v>#N/A</v>
      </c>
      <c r="W30" s="1" t="str">
        <f t="shared" si="13"/>
        <v>#N/A</v>
      </c>
      <c r="X30" s="1" t="str">
        <f t="shared" si="14"/>
        <v>#N/A</v>
      </c>
    </row>
    <row r="31">
      <c r="A31" s="1" t="str">
        <f>TRIM(CLEAN(PROPER(peakflow_q1_2025_dirty!A29)))</f>
        <v>D-1029</v>
      </c>
      <c r="B31" s="10">
        <f>DATEVALUE(TRIM(CLEAN(peakflow_q1_2025_dirty!B29)))</f>
        <v>45667</v>
      </c>
      <c r="C31" s="1" t="str">
        <f>TRIM(CLEAN(PROPER(peakflow_q1_2025_dirty!C29)))</f>
        <v>Cascade Group</v>
      </c>
      <c r="D31" s="1" t="str">
        <f>TRIM(CLEAN(PROPER(peakflow_q1_2025_dirty!D29)))</f>
        <v>Starter Plan</v>
      </c>
      <c r="E31" s="1" t="str">
        <f>TRIM(CLEAN(PROPER(peakflow_q1_2025_dirty!E29)))</f>
        <v>Sophie Laurent</v>
      </c>
      <c r="F31" s="1" t="str">
        <f>TRIM(CLEAN(PROPER(peakflow_q1_2025_dirty!F29)))</f>
        <v>Maya Rodriguez</v>
      </c>
      <c r="G31" s="1" t="str">
        <f>TRIM(CLEAN(UPPER(peakflow_q1_2025_dirty!G29)))</f>
        <v>APAC</v>
      </c>
      <c r="H31" s="1">
        <f>VALUE(TRIM((CLEAN(peakflow_q1_2025_dirty!H29))))</f>
        <v>50</v>
      </c>
      <c r="I31" s="8">
        <f>VALUE(SUBSTITUTE(peakflow_q1_2025_dirty!I29,".","," ))</f>
        <v>72.26</v>
      </c>
      <c r="J31" s="8">
        <f t="shared" si="1"/>
        <v>3613</v>
      </c>
      <c r="K31" s="1" t="str">
        <f t="shared" si="2"/>
        <v>Januar</v>
      </c>
      <c r="M31" s="1" t="str">
        <f t="shared" si="3"/>
        <v>#N/A</v>
      </c>
      <c r="N31" s="1" t="str">
        <f t="shared" si="4"/>
        <v>#N/A</v>
      </c>
      <c r="O31" s="1" t="str">
        <f t="shared" si="5"/>
        <v>#N/A</v>
      </c>
      <c r="P31" s="1" t="str">
        <f t="shared" si="6"/>
        <v>#N/A</v>
      </c>
      <c r="Q31" s="1" t="str">
        <f t="shared" si="7"/>
        <v>#N/A</v>
      </c>
      <c r="R31" s="1" t="str">
        <f t="shared" si="8"/>
        <v>#N/A</v>
      </c>
      <c r="S31" s="1" t="str">
        <f t="shared" si="9"/>
        <v>#N/A</v>
      </c>
      <c r="T31" s="1" t="str">
        <f t="shared" si="10"/>
        <v>#N/A</v>
      </c>
      <c r="U31" s="1" t="str">
        <f t="shared" si="11"/>
        <v>#N/A</v>
      </c>
      <c r="V31" s="1" t="str">
        <f t="shared" si="12"/>
        <v>#N/A</v>
      </c>
      <c r="W31" s="1">
        <f t="shared" si="13"/>
        <v>50</v>
      </c>
      <c r="X31" s="8">
        <f t="shared" si="14"/>
        <v>72.26</v>
      </c>
    </row>
    <row r="32">
      <c r="A32" s="1" t="str">
        <f>TRIM(CLEAN(PROPER(peakflow_q1_2025_dirty!A30)))</f>
        <v>D-1141</v>
      </c>
      <c r="B32" s="10">
        <f>DATEVALUE(TRIM(CLEAN(peakflow_q1_2025_dirty!B30)))</f>
        <v>45667</v>
      </c>
      <c r="C32" s="1" t="str">
        <f>TRIM(CLEAN(PROPER(peakflow_q1_2025_dirty!C30)))</f>
        <v>Nova Inc</v>
      </c>
      <c r="D32" s="1" t="str">
        <f>TRIM(CLEAN(PROPER(peakflow_q1_2025_dirty!D30)))</f>
        <v>Enterprise Plan</v>
      </c>
      <c r="E32" s="1" t="str">
        <f>TRIM(CLEAN(PROPER(peakflow_q1_2025_dirty!E30)))</f>
        <v>Elena Rossi</v>
      </c>
      <c r="F32" s="1" t="str">
        <f>TRIM(CLEAN(PROPER(peakflow_q1_2025_dirty!F30)))</f>
        <v>Lukas Becker</v>
      </c>
      <c r="G32" s="1" t="str">
        <f>TRIM(CLEAN(UPPER(peakflow_q1_2025_dirty!G30)))</f>
        <v>APAC</v>
      </c>
      <c r="H32" s="1">
        <f>VALUE(TRIM((CLEAN(peakflow_q1_2025_dirty!H30))))</f>
        <v>1</v>
      </c>
      <c r="I32" s="8">
        <f>VALUE(SUBSTITUTE(peakflow_q1_2025_dirty!I30,".","," ))</f>
        <v>1234.13</v>
      </c>
      <c r="J32" s="8">
        <f t="shared" si="1"/>
        <v>1234.13</v>
      </c>
      <c r="K32" s="1" t="str">
        <f t="shared" si="2"/>
        <v>Januar</v>
      </c>
      <c r="M32" s="1" t="str">
        <f t="shared" si="3"/>
        <v>#N/A</v>
      </c>
      <c r="N32" s="1" t="str">
        <f t="shared" si="4"/>
        <v>#N/A</v>
      </c>
      <c r="O32" s="1" t="str">
        <f t="shared" si="5"/>
        <v>#N/A</v>
      </c>
      <c r="P32" s="1" t="str">
        <f t="shared" si="6"/>
        <v>#N/A</v>
      </c>
      <c r="Q32" s="1" t="str">
        <f t="shared" si="7"/>
        <v>#N/A</v>
      </c>
      <c r="R32" s="1" t="str">
        <f t="shared" si="8"/>
        <v>#N/A</v>
      </c>
      <c r="S32" s="1">
        <f t="shared" si="9"/>
        <v>1</v>
      </c>
      <c r="T32" s="8">
        <f t="shared" si="10"/>
        <v>1234.13</v>
      </c>
      <c r="U32" s="1" t="str">
        <f t="shared" si="11"/>
        <v>#N/A</v>
      </c>
      <c r="V32" s="1" t="str">
        <f t="shared" si="12"/>
        <v>#N/A</v>
      </c>
      <c r="W32" s="1" t="str">
        <f t="shared" si="13"/>
        <v>#N/A</v>
      </c>
      <c r="X32" s="1" t="str">
        <f t="shared" si="14"/>
        <v>#N/A</v>
      </c>
    </row>
    <row r="33">
      <c r="A33" s="1" t="str">
        <f>TRIM(CLEAN(PROPER(peakflow_q1_2025_dirty!A31)))</f>
        <v>D-1155</v>
      </c>
      <c r="B33" s="10">
        <f>DATEVALUE(TRIM(CLEAN(peakflow_q1_2025_dirty!B31)))</f>
        <v>45667</v>
      </c>
      <c r="C33" s="1" t="str">
        <f>TRIM(CLEAN(PROPER(peakflow_q1_2025_dirty!C31)))</f>
        <v>Juniper Group</v>
      </c>
      <c r="D33" s="1" t="str">
        <f>TRIM(CLEAN(PROPER(peakflow_q1_2025_dirty!D31)))</f>
        <v>Pro Plan</v>
      </c>
      <c r="E33" s="1" t="str">
        <f>TRIM(CLEAN(PROPER(peakflow_q1_2025_dirty!E31)))</f>
        <v>Nina Petrov</v>
      </c>
      <c r="F33" s="1" t="str">
        <f>TRIM(CLEAN(PROPER(peakflow_q1_2025_dirty!F31)))</f>
        <v>Lukas Becker</v>
      </c>
      <c r="G33" s="1" t="str">
        <f>TRIM(CLEAN(PROPER(peakflow_q1_2025_dirty!G31)))</f>
        <v>North America</v>
      </c>
      <c r="H33" s="1">
        <f>VALUE(TRIM((CLEAN(peakflow_q1_2025_dirty!H31))))</f>
        <v>1</v>
      </c>
      <c r="I33" s="8">
        <f>VALUE(SUBSTITUTE(peakflow_q1_2025_dirty!I31,".","," ))</f>
        <v>219.47</v>
      </c>
      <c r="J33" s="8">
        <f t="shared" si="1"/>
        <v>219.47</v>
      </c>
      <c r="K33" s="1" t="str">
        <f t="shared" si="2"/>
        <v>Januar</v>
      </c>
      <c r="M33" s="1" t="str">
        <f t="shared" si="3"/>
        <v>#N/A</v>
      </c>
      <c r="N33" s="1" t="str">
        <f t="shared" si="4"/>
        <v>#N/A</v>
      </c>
      <c r="O33" s="1" t="str">
        <f t="shared" si="5"/>
        <v>#N/A</v>
      </c>
      <c r="P33" s="1" t="str">
        <f t="shared" si="6"/>
        <v>#N/A</v>
      </c>
      <c r="Q33" s="1" t="str">
        <f t="shared" si="7"/>
        <v>#N/A</v>
      </c>
      <c r="R33" s="1" t="str">
        <f t="shared" si="8"/>
        <v>#N/A</v>
      </c>
      <c r="S33" s="1" t="str">
        <f t="shared" si="9"/>
        <v>#N/A</v>
      </c>
      <c r="T33" s="1" t="str">
        <f t="shared" si="10"/>
        <v>#N/A</v>
      </c>
      <c r="U33" s="1">
        <f t="shared" si="11"/>
        <v>1</v>
      </c>
      <c r="V33" s="8">
        <f t="shared" si="12"/>
        <v>219.47</v>
      </c>
      <c r="W33" s="1" t="str">
        <f t="shared" si="13"/>
        <v>#N/A</v>
      </c>
      <c r="X33" s="1" t="str">
        <f t="shared" si="14"/>
        <v>#N/A</v>
      </c>
    </row>
    <row r="34">
      <c r="A34" s="1" t="str">
        <f>TRIM(CLEAN(PROPER(peakflow_q1_2025_dirty!A32)))</f>
        <v>D-1209</v>
      </c>
      <c r="B34" s="10">
        <f>DATEVALUE(TRIM(CLEAN(peakflow_q1_2025_dirty!B32)))</f>
        <v>45667</v>
      </c>
      <c r="C34" s="1" t="str">
        <f>TRIM(CLEAN(PROPER(peakflow_q1_2025_dirty!C32)))</f>
        <v>Lattice Co</v>
      </c>
      <c r="D34" s="1" t="str">
        <f>TRIM(CLEAN(PROPER(peakflow_q1_2025_dirty!D32)))</f>
        <v>Pro Plan</v>
      </c>
      <c r="E34" s="1" t="str">
        <f>TRIM(CLEAN(PROPER(peakflow_q1_2025_dirty!E32)))</f>
        <v>Elena Rossi</v>
      </c>
      <c r="F34" s="1" t="str">
        <f>TRIM(CLEAN(PROPER(peakflow_q1_2025_dirty!F32)))</f>
        <v>Lukas Becker</v>
      </c>
      <c r="G34" s="1" t="str">
        <f>TRIM(CLEAN(PROPER(peakflow_q1_2025_dirty!G32)))</f>
        <v>North America</v>
      </c>
      <c r="H34" s="1">
        <f>VALUE(TRIM((CLEAN(peakflow_q1_2025_dirty!H32))))</f>
        <v>1</v>
      </c>
      <c r="I34" s="8">
        <f>VALUE(SUBSTITUTE(peakflow_q1_2025_dirty!I32,".","," ))</f>
        <v>276.18</v>
      </c>
      <c r="J34" s="8">
        <f t="shared" si="1"/>
        <v>276.18</v>
      </c>
      <c r="K34" s="1" t="str">
        <f t="shared" si="2"/>
        <v>Januar</v>
      </c>
      <c r="M34" s="1" t="str">
        <f t="shared" si="3"/>
        <v>#N/A</v>
      </c>
      <c r="N34" s="1" t="str">
        <f t="shared" si="4"/>
        <v>#N/A</v>
      </c>
      <c r="O34" s="1" t="str">
        <f t="shared" si="5"/>
        <v>#N/A</v>
      </c>
      <c r="P34" s="1" t="str">
        <f t="shared" si="6"/>
        <v>#N/A</v>
      </c>
      <c r="Q34" s="1" t="str">
        <f t="shared" si="7"/>
        <v>#N/A</v>
      </c>
      <c r="R34" s="1" t="str">
        <f t="shared" si="8"/>
        <v>#N/A</v>
      </c>
      <c r="S34" s="1" t="str">
        <f t="shared" si="9"/>
        <v>#N/A</v>
      </c>
      <c r="T34" s="1" t="str">
        <f t="shared" si="10"/>
        <v>#N/A</v>
      </c>
      <c r="U34" s="1">
        <f t="shared" si="11"/>
        <v>1</v>
      </c>
      <c r="V34" s="8">
        <f t="shared" si="12"/>
        <v>276.18</v>
      </c>
      <c r="W34" s="1" t="str">
        <f t="shared" si="13"/>
        <v>#N/A</v>
      </c>
      <c r="X34" s="1" t="str">
        <f t="shared" si="14"/>
        <v>#N/A</v>
      </c>
    </row>
    <row r="35">
      <c r="A35" s="1" t="str">
        <f>TRIM(CLEAN(PROPER(peakflow_q1_2025_dirty!A33)))</f>
        <v>D-1215</v>
      </c>
      <c r="B35" s="10">
        <f>DATEVALUE(TRIM(CLEAN(peakflow_q1_2025_dirty!B33)))</f>
        <v>45667</v>
      </c>
      <c r="C35" s="1" t="str">
        <f>TRIM(CLEAN(PROPER(peakflow_q1_2025_dirty!C33)))</f>
        <v>Helix Systems</v>
      </c>
      <c r="D35" s="1" t="str">
        <f>TRIM(CLEAN(PROPER(peakflow_q1_2025_dirty!D33)))</f>
        <v>Starter Plan</v>
      </c>
      <c r="E35" s="1" t="str">
        <f>TRIM(CLEAN(PROPER(peakflow_q1_2025_dirty!E33)))</f>
        <v>David Kim</v>
      </c>
      <c r="F35" s="1" t="str">
        <f>TRIM(CLEAN(PROPER(peakflow_q1_2025_dirty!F33)))</f>
        <v>Sarah Chen</v>
      </c>
      <c r="G35" s="1" t="str">
        <f>TRIM(CLEAN(UPPER(peakflow_q1_2025_dirty!G33)))</f>
        <v>EMEA</v>
      </c>
      <c r="H35" s="1">
        <f>VALUE(TRIM((CLEAN(peakflow_q1_2025_dirty!H33))))</f>
        <v>20</v>
      </c>
      <c r="I35" s="8">
        <f>VALUE(SUBSTITUTE(peakflow_q1_2025_dirty!I33,".","," ))</f>
        <v>63.25</v>
      </c>
      <c r="J35" s="8">
        <f t="shared" si="1"/>
        <v>1265</v>
      </c>
      <c r="K35" s="1" t="str">
        <f t="shared" si="2"/>
        <v>Januar</v>
      </c>
      <c r="M35" s="1" t="str">
        <f t="shared" si="3"/>
        <v>#N/A</v>
      </c>
      <c r="N35" s="1" t="str">
        <f t="shared" si="4"/>
        <v>#N/A</v>
      </c>
      <c r="O35" s="1" t="str">
        <f t="shared" si="5"/>
        <v>#N/A</v>
      </c>
      <c r="P35" s="1" t="str">
        <f t="shared" si="6"/>
        <v>#N/A</v>
      </c>
      <c r="Q35" s="1" t="str">
        <f t="shared" si="7"/>
        <v>#N/A</v>
      </c>
      <c r="R35" s="1" t="str">
        <f t="shared" si="8"/>
        <v>#N/A</v>
      </c>
      <c r="S35" s="1" t="str">
        <f t="shared" si="9"/>
        <v>#N/A</v>
      </c>
      <c r="T35" s="1" t="str">
        <f t="shared" si="10"/>
        <v>#N/A</v>
      </c>
      <c r="U35" s="1" t="str">
        <f t="shared" si="11"/>
        <v>#N/A</v>
      </c>
      <c r="V35" s="1" t="str">
        <f t="shared" si="12"/>
        <v>#N/A</v>
      </c>
      <c r="W35" s="1">
        <f t="shared" si="13"/>
        <v>20</v>
      </c>
      <c r="X35" s="8">
        <f t="shared" si="14"/>
        <v>63.25</v>
      </c>
    </row>
    <row r="36">
      <c r="A36" s="1" t="str">
        <f>TRIM(CLEAN(PROPER(peakflow_q1_2025_dirty!A34)))</f>
        <v>D-1250</v>
      </c>
      <c r="B36" s="10">
        <f>DATEVALUE(TRIM(CLEAN(peakflow_q1_2025_dirty!B34)))</f>
        <v>45667</v>
      </c>
      <c r="C36" s="1" t="str">
        <f>TRIM(CLEAN(PROPER(peakflow_q1_2025_dirty!C34)))</f>
        <v>Kestrel Co</v>
      </c>
      <c r="D36" s="1" t="str">
        <f>TRIM(CLEAN(PROPER(peakflow_q1_2025_dirty!D34)))</f>
        <v>Starter Plan</v>
      </c>
      <c r="E36" s="1" t="str">
        <f>TRIM(CLEAN(PROPER(peakflow_q1_2025_dirty!E34)))</f>
        <v>James Park</v>
      </c>
      <c r="F36" s="1" t="str">
        <f>TRIM(CLEAN(PROPER(peakflow_q1_2025_dirty!F34)))</f>
        <v>Owen Walsh</v>
      </c>
      <c r="G36" s="1" t="str">
        <f>TRIM(CLEAN(PROPER(peakflow_q1_2025_dirty!G34)))</f>
        <v>North America</v>
      </c>
      <c r="H36" s="1">
        <f>VALUE(TRIM((CLEAN(peakflow_q1_2025_dirty!H34))))</f>
        <v>1</v>
      </c>
      <c r="I36" s="8">
        <f>VALUE(SUBSTITUTE(peakflow_q1_2025_dirty!I34,".","," ))</f>
        <v>70.61</v>
      </c>
      <c r="J36" s="8">
        <f t="shared" si="1"/>
        <v>70.61</v>
      </c>
      <c r="K36" s="1" t="str">
        <f t="shared" si="2"/>
        <v>Januar</v>
      </c>
      <c r="M36" s="1" t="str">
        <f t="shared" si="3"/>
        <v>#N/A</v>
      </c>
      <c r="N36" s="1" t="str">
        <f t="shared" si="4"/>
        <v>#N/A</v>
      </c>
      <c r="O36" s="1" t="str">
        <f t="shared" si="5"/>
        <v>#N/A</v>
      </c>
      <c r="P36" s="1" t="str">
        <f t="shared" si="6"/>
        <v>#N/A</v>
      </c>
      <c r="Q36" s="1" t="str">
        <f t="shared" si="7"/>
        <v>#N/A</v>
      </c>
      <c r="R36" s="1" t="str">
        <f t="shared" si="8"/>
        <v>#N/A</v>
      </c>
      <c r="S36" s="1" t="str">
        <f t="shared" si="9"/>
        <v>#N/A</v>
      </c>
      <c r="T36" s="1" t="str">
        <f t="shared" si="10"/>
        <v>#N/A</v>
      </c>
      <c r="U36" s="1" t="str">
        <f t="shared" si="11"/>
        <v>#N/A</v>
      </c>
      <c r="V36" s="1" t="str">
        <f t="shared" si="12"/>
        <v>#N/A</v>
      </c>
      <c r="W36" s="1">
        <f t="shared" si="13"/>
        <v>1</v>
      </c>
      <c r="X36" s="8">
        <f t="shared" si="14"/>
        <v>70.61</v>
      </c>
    </row>
    <row r="37">
      <c r="A37" s="1" t="str">
        <f>TRIM(CLEAN(PROPER(peakflow_q1_2025_dirty!A35)))</f>
        <v>D-1066</v>
      </c>
      <c r="B37" s="10">
        <f>DATEVALUE(TRIM(CLEAN(peakflow_q1_2025_dirty!B35)))</f>
        <v>45668</v>
      </c>
      <c r="C37" s="1" t="str">
        <f>TRIM(CLEAN(PROPER(peakflow_q1_2025_dirty!C35)))</f>
        <v>Cascade Group</v>
      </c>
      <c r="D37" s="1" t="str">
        <f>TRIM(CLEAN(PROPER(peakflow_q1_2025_dirty!D35)))</f>
        <v>Pro Plan</v>
      </c>
      <c r="E37" s="1" t="str">
        <f>TRIM(CLEAN(PROPER(peakflow_q1_2025_dirty!E35)))</f>
        <v>David Kim</v>
      </c>
      <c r="F37" s="1" t="str">
        <f>TRIM(CLEAN(PROPER(peakflow_q1_2025_dirty!F35)))</f>
        <v>Sarah Chen</v>
      </c>
      <c r="G37" s="1" t="str">
        <f>TRIM(CLEAN(UPPER(peakflow_q1_2025_dirty!G35)))</f>
        <v>EMEA</v>
      </c>
      <c r="H37" s="1">
        <f>VALUE(TRIM((CLEAN(peakflow_q1_2025_dirty!H35))))</f>
        <v>2</v>
      </c>
      <c r="I37" s="8">
        <f>VALUE(SUBSTITUTE(peakflow_q1_2025_dirty!I35,".","," ))</f>
        <v>171.17</v>
      </c>
      <c r="J37" s="8">
        <f t="shared" si="1"/>
        <v>342.34</v>
      </c>
      <c r="K37" s="1" t="str">
        <f t="shared" si="2"/>
        <v>Januar</v>
      </c>
      <c r="M37" s="1" t="str">
        <f t="shared" si="3"/>
        <v>#N/A</v>
      </c>
      <c r="N37" s="1" t="str">
        <f t="shared" si="4"/>
        <v>#N/A</v>
      </c>
      <c r="O37" s="1" t="str">
        <f t="shared" si="5"/>
        <v>#N/A</v>
      </c>
      <c r="P37" s="1" t="str">
        <f t="shared" si="6"/>
        <v>#N/A</v>
      </c>
      <c r="Q37" s="1" t="str">
        <f t="shared" si="7"/>
        <v>#N/A</v>
      </c>
      <c r="R37" s="1" t="str">
        <f t="shared" si="8"/>
        <v>#N/A</v>
      </c>
      <c r="S37" s="1" t="str">
        <f t="shared" si="9"/>
        <v>#N/A</v>
      </c>
      <c r="T37" s="1" t="str">
        <f t="shared" si="10"/>
        <v>#N/A</v>
      </c>
      <c r="U37" s="1">
        <f t="shared" si="11"/>
        <v>2</v>
      </c>
      <c r="V37" s="8">
        <f t="shared" si="12"/>
        <v>171.17</v>
      </c>
      <c r="W37" s="1" t="str">
        <f t="shared" si="13"/>
        <v>#N/A</v>
      </c>
      <c r="X37" s="1" t="str">
        <f t="shared" si="14"/>
        <v>#N/A</v>
      </c>
    </row>
    <row r="38">
      <c r="A38" s="1" t="str">
        <f>TRIM(CLEAN(PROPER(peakflow_q1_2025_dirty!A36)))</f>
        <v>D-1153</v>
      </c>
      <c r="B38" s="10">
        <f>DATEVALUE(TRIM(CLEAN(peakflow_q1_2025_dirty!B36)))</f>
        <v>45668</v>
      </c>
      <c r="C38" s="1" t="str">
        <f>TRIM(CLEAN(PROPER(peakflow_q1_2025_dirty!C36)))</f>
        <v>Beacon Labs</v>
      </c>
      <c r="D38" s="1" t="str">
        <f>TRIM(CLEAN(PROPER(peakflow_q1_2025_dirty!D36)))</f>
        <v>Pro Plan</v>
      </c>
      <c r="E38" s="1" t="str">
        <f>TRIM(CLEAN(PROPER(peakflow_q1_2025_dirty!E36)))</f>
        <v>Marcus Johnson</v>
      </c>
      <c r="F38" s="1" t="str">
        <f>TRIM(CLEAN(PROPER(peakflow_q1_2025_dirty!F36)))</f>
        <v>Sarah Chen</v>
      </c>
      <c r="G38" s="1" t="str">
        <f>TRIM(CLEAN(PROPER(peakflow_q1_2025_dirty!G36)))</f>
        <v>North America</v>
      </c>
      <c r="H38" s="1">
        <f>VALUE(TRIM((CLEAN(peakflow_q1_2025_dirty!H36))))</f>
        <v>1</v>
      </c>
      <c r="I38" s="8">
        <f>VALUE(SUBSTITUTE(peakflow_q1_2025_dirty!I36,".","," ))</f>
        <v>161.18</v>
      </c>
      <c r="J38" s="8">
        <f t="shared" si="1"/>
        <v>161.18</v>
      </c>
      <c r="K38" s="1" t="str">
        <f t="shared" si="2"/>
        <v>Januar</v>
      </c>
      <c r="M38" s="1" t="str">
        <f t="shared" si="3"/>
        <v>#N/A</v>
      </c>
      <c r="N38" s="1" t="str">
        <f t="shared" si="4"/>
        <v>#N/A</v>
      </c>
      <c r="O38" s="1" t="str">
        <f t="shared" si="5"/>
        <v>#N/A</v>
      </c>
      <c r="P38" s="1" t="str">
        <f t="shared" si="6"/>
        <v>#N/A</v>
      </c>
      <c r="Q38" s="1" t="str">
        <f t="shared" si="7"/>
        <v>#N/A</v>
      </c>
      <c r="R38" s="1" t="str">
        <f t="shared" si="8"/>
        <v>#N/A</v>
      </c>
      <c r="S38" s="1" t="str">
        <f t="shared" si="9"/>
        <v>#N/A</v>
      </c>
      <c r="T38" s="1" t="str">
        <f t="shared" si="10"/>
        <v>#N/A</v>
      </c>
      <c r="U38" s="1">
        <f t="shared" si="11"/>
        <v>1</v>
      </c>
      <c r="V38" s="8">
        <f t="shared" si="12"/>
        <v>161.18</v>
      </c>
      <c r="W38" s="1" t="str">
        <f t="shared" si="13"/>
        <v>#N/A</v>
      </c>
      <c r="X38" s="1" t="str">
        <f t="shared" si="14"/>
        <v>#N/A</v>
      </c>
    </row>
    <row r="39">
      <c r="A39" s="1" t="str">
        <f>TRIM(CLEAN(PROPER(peakflow_q1_2025_dirty!A37)))</f>
        <v>D-1180</v>
      </c>
      <c r="B39" s="10">
        <f>DATEVALUE(TRIM(CLEAN(peakflow_q1_2025_dirty!B37)))</f>
        <v>45668</v>
      </c>
      <c r="C39" s="1" t="str">
        <f>TRIM(CLEAN(PROPER(peakflow_q1_2025_dirty!C37)))</f>
        <v>Quanta Labs</v>
      </c>
      <c r="D39" s="1" t="str">
        <f>TRIM(CLEAN(PROPER(peakflow_q1_2025_dirty!D37)))</f>
        <v>Add-On: Analytics</v>
      </c>
      <c r="E39" s="1" t="str">
        <f>TRIM(CLEAN(PROPER(peakflow_q1_2025_dirty!E37)))</f>
        <v>Raj Sharma</v>
      </c>
      <c r="F39" s="1" t="str">
        <f>TRIM(CLEAN(PROPER(peakflow_q1_2025_dirty!F37)))</f>
        <v>Owen Walsh</v>
      </c>
      <c r="G39" s="1" t="str">
        <f>TRIM(CLEAN(UPPER(peakflow_q1_2025_dirty!G37)))</f>
        <v>APAC</v>
      </c>
      <c r="H39" s="1">
        <f>VALUE(TRIM((CLEAN(peakflow_q1_2025_dirty!H37))))</f>
        <v>1</v>
      </c>
      <c r="I39" s="8">
        <f>VALUE(SUBSTITUTE(peakflow_q1_2025_dirty!I37,".","," ))</f>
        <v>95.39</v>
      </c>
      <c r="J39" s="8">
        <f t="shared" si="1"/>
        <v>95.39</v>
      </c>
      <c r="K39" s="1" t="str">
        <f t="shared" si="2"/>
        <v>Januar</v>
      </c>
      <c r="M39" s="1">
        <f t="shared" si="3"/>
        <v>1</v>
      </c>
      <c r="N39" s="8">
        <f t="shared" si="4"/>
        <v>95.39</v>
      </c>
      <c r="O39" s="1" t="str">
        <f t="shared" si="5"/>
        <v>#N/A</v>
      </c>
      <c r="P39" s="1" t="str">
        <f t="shared" si="6"/>
        <v>#N/A</v>
      </c>
      <c r="Q39" s="1" t="str">
        <f t="shared" si="7"/>
        <v>#N/A</v>
      </c>
      <c r="R39" s="1" t="str">
        <f t="shared" si="8"/>
        <v>#N/A</v>
      </c>
      <c r="S39" s="1" t="str">
        <f t="shared" si="9"/>
        <v>#N/A</v>
      </c>
      <c r="T39" s="1" t="str">
        <f t="shared" si="10"/>
        <v>#N/A</v>
      </c>
      <c r="U39" s="1" t="str">
        <f t="shared" si="11"/>
        <v>#N/A</v>
      </c>
      <c r="V39" s="1" t="str">
        <f t="shared" si="12"/>
        <v>#N/A</v>
      </c>
      <c r="W39" s="1" t="str">
        <f t="shared" si="13"/>
        <v>#N/A</v>
      </c>
      <c r="X39" s="1" t="str">
        <f t="shared" si="14"/>
        <v>#N/A</v>
      </c>
    </row>
    <row r="40">
      <c r="A40" s="1" t="str">
        <f>TRIM(CLEAN(PROPER(peakflow_q1_2025_dirty!A38)))</f>
        <v>D-1219</v>
      </c>
      <c r="B40" s="10">
        <f>DATEVALUE(TRIM(CLEAN(peakflow_q1_2025_dirty!B38)))</f>
        <v>45668</v>
      </c>
      <c r="C40" s="1" t="str">
        <f>TRIM(CLEAN(PROPER(peakflow_q1_2025_dirty!C38)))</f>
        <v>Northwind Co</v>
      </c>
      <c r="D40" s="1" t="str">
        <f>TRIM(CLEAN(PROPER(peakflow_q1_2025_dirty!D38)))</f>
        <v>Add-On: Analytics</v>
      </c>
      <c r="E40" s="1" t="str">
        <f>TRIM(CLEAN(PROPER(peakflow_q1_2025_dirty!E38)))</f>
        <v>David Kim</v>
      </c>
      <c r="F40" s="1" t="str">
        <f>TRIM(CLEAN(PROPER(peakflow_q1_2025_dirty!F38)))</f>
        <v>Sarah Chen</v>
      </c>
      <c r="G40" s="1" t="str">
        <f>TRIM(CLEAN(UPPER(peakflow_q1_2025_dirty!G38)))</f>
        <v>EMEA</v>
      </c>
      <c r="H40" s="1">
        <f>VALUE(TRIM((CLEAN(peakflow_q1_2025_dirty!H38))))</f>
        <v>1</v>
      </c>
      <c r="I40" s="8">
        <f>VALUE(SUBSTITUTE(peakflow_q1_2025_dirty!I38,".","," ))</f>
        <v>63.23</v>
      </c>
      <c r="J40" s="8">
        <f t="shared" si="1"/>
        <v>63.23</v>
      </c>
      <c r="K40" s="1" t="str">
        <f t="shared" si="2"/>
        <v>Januar</v>
      </c>
      <c r="M40" s="1">
        <f t="shared" si="3"/>
        <v>1</v>
      </c>
      <c r="N40" s="8">
        <f t="shared" si="4"/>
        <v>63.23</v>
      </c>
      <c r="O40" s="1" t="str">
        <f t="shared" si="5"/>
        <v>#N/A</v>
      </c>
      <c r="P40" s="1" t="str">
        <f t="shared" si="6"/>
        <v>#N/A</v>
      </c>
      <c r="Q40" s="1" t="str">
        <f t="shared" si="7"/>
        <v>#N/A</v>
      </c>
      <c r="R40" s="1" t="str">
        <f t="shared" si="8"/>
        <v>#N/A</v>
      </c>
      <c r="S40" s="1" t="str">
        <f t="shared" si="9"/>
        <v>#N/A</v>
      </c>
      <c r="T40" s="1" t="str">
        <f t="shared" si="10"/>
        <v>#N/A</v>
      </c>
      <c r="U40" s="1" t="str">
        <f t="shared" si="11"/>
        <v>#N/A</v>
      </c>
      <c r="V40" s="1" t="str">
        <f t="shared" si="12"/>
        <v>#N/A</v>
      </c>
      <c r="W40" s="1" t="str">
        <f t="shared" si="13"/>
        <v>#N/A</v>
      </c>
      <c r="X40" s="1" t="str">
        <f t="shared" si="14"/>
        <v>#N/A</v>
      </c>
    </row>
    <row r="41">
      <c r="A41" s="1" t="str">
        <f>TRIM(CLEAN(PROPER(peakflow_q1_2025_dirty!A39)))</f>
        <v>D-1001</v>
      </c>
      <c r="B41" s="10">
        <f>DATEVALUE(TRIM(CLEAN(peakflow_q1_2025_dirty!B39)))</f>
        <v>45669</v>
      </c>
      <c r="C41" s="1" t="str">
        <f>TRIM(CLEAN(PROPER(peakflow_q1_2025_dirty!C39)))</f>
        <v>Phoenix Co</v>
      </c>
      <c r="D41" s="1" t="str">
        <f>TRIM(CLEAN(PROPER(peakflow_q1_2025_dirty!D39)))</f>
        <v>Starter Plan</v>
      </c>
      <c r="E41" s="1" t="str">
        <f>TRIM(CLEAN(PROPER(peakflow_q1_2025_dirty!E39)))</f>
        <v>Priya Patel</v>
      </c>
      <c r="F41" s="1" t="str">
        <f>TRIM(CLEAN(PROPER(peakflow_q1_2025_dirty!F39)))</f>
        <v>Maya Rodriguez</v>
      </c>
      <c r="G41" s="1" t="str">
        <f>TRIM(CLEAN(UPPER(peakflow_q1_2025_dirty!G39)))</f>
        <v>LATAM</v>
      </c>
      <c r="H41" s="1">
        <f>VALUE(TRIM((CLEAN(peakflow_q1_2025_dirty!H39))))</f>
        <v>1</v>
      </c>
      <c r="I41" s="8">
        <f>VALUE(SUBSTITUTE(peakflow_q1_2025_dirty!I39,".","," ))</f>
        <v>45.33</v>
      </c>
      <c r="J41" s="8">
        <f t="shared" si="1"/>
        <v>45.33</v>
      </c>
      <c r="K41" s="1" t="str">
        <f t="shared" si="2"/>
        <v>Januar</v>
      </c>
      <c r="M41" s="1" t="str">
        <f t="shared" si="3"/>
        <v>#N/A</v>
      </c>
      <c r="N41" s="1" t="str">
        <f t="shared" si="4"/>
        <v>#N/A</v>
      </c>
      <c r="O41" s="1" t="str">
        <f t="shared" si="5"/>
        <v>#N/A</v>
      </c>
      <c r="P41" s="1" t="str">
        <f t="shared" si="6"/>
        <v>#N/A</v>
      </c>
      <c r="Q41" s="1" t="str">
        <f t="shared" si="7"/>
        <v>#N/A</v>
      </c>
      <c r="R41" s="1" t="str">
        <f t="shared" si="8"/>
        <v>#N/A</v>
      </c>
      <c r="S41" s="1" t="str">
        <f t="shared" si="9"/>
        <v>#N/A</v>
      </c>
      <c r="T41" s="1" t="str">
        <f t="shared" si="10"/>
        <v>#N/A</v>
      </c>
      <c r="U41" s="1" t="str">
        <f t="shared" si="11"/>
        <v>#N/A</v>
      </c>
      <c r="V41" s="1" t="str">
        <f t="shared" si="12"/>
        <v>#N/A</v>
      </c>
      <c r="W41" s="1">
        <f t="shared" si="13"/>
        <v>1</v>
      </c>
      <c r="X41" s="8">
        <f t="shared" si="14"/>
        <v>45.33</v>
      </c>
    </row>
    <row r="42">
      <c r="A42" s="1" t="str">
        <f>TRIM(CLEAN(PROPER(peakflow_q1_2025_dirty!A40)))</f>
        <v>D-1009</v>
      </c>
      <c r="B42" s="10">
        <f>DATEVALUE(TRIM(CLEAN(peakflow_q1_2025_dirty!B40)))</f>
        <v>45669</v>
      </c>
      <c r="C42" s="1" t="str">
        <f>TRIM(CLEAN(PROPER(peakflow_q1_2025_dirty!C40)))</f>
        <v>Foundry Group</v>
      </c>
      <c r="D42" s="1" t="str">
        <f>TRIM(CLEAN(PROPER(peakflow_q1_2025_dirty!D40)))</f>
        <v>Pro Plan</v>
      </c>
      <c r="E42" s="1" t="str">
        <f>TRIM(CLEAN(PROPER(peakflow_q1_2025_dirty!E40)))</f>
        <v>Marcus Johnson</v>
      </c>
      <c r="F42" s="1" t="str">
        <f>TRIM(CLEAN(PROPER(peakflow_q1_2025_dirty!F40)))</f>
        <v>Sarah Chen</v>
      </c>
      <c r="G42" s="1" t="str">
        <f>TRIM(CLEAN(PROPER(peakflow_q1_2025_dirty!G40)))</f>
        <v>North America</v>
      </c>
      <c r="H42" s="1">
        <f>VALUE(TRIM((CLEAN(peakflow_q1_2025_dirty!H40))))</f>
        <v>1</v>
      </c>
      <c r="I42" s="8">
        <f>VALUE(SUBSTITUTE(peakflow_q1_2025_dirty!I40,".","," ))</f>
        <v>213.81</v>
      </c>
      <c r="J42" s="8">
        <f t="shared" si="1"/>
        <v>213.81</v>
      </c>
      <c r="K42" s="1" t="str">
        <f t="shared" si="2"/>
        <v>Januar</v>
      </c>
      <c r="M42" s="1" t="str">
        <f t="shared" si="3"/>
        <v>#N/A</v>
      </c>
      <c r="N42" s="1" t="str">
        <f t="shared" si="4"/>
        <v>#N/A</v>
      </c>
      <c r="O42" s="1" t="str">
        <f t="shared" si="5"/>
        <v>#N/A</v>
      </c>
      <c r="P42" s="1" t="str">
        <f t="shared" si="6"/>
        <v>#N/A</v>
      </c>
      <c r="Q42" s="1" t="str">
        <f t="shared" si="7"/>
        <v>#N/A</v>
      </c>
      <c r="R42" s="1" t="str">
        <f t="shared" si="8"/>
        <v>#N/A</v>
      </c>
      <c r="S42" s="1" t="str">
        <f t="shared" si="9"/>
        <v>#N/A</v>
      </c>
      <c r="T42" s="1" t="str">
        <f t="shared" si="10"/>
        <v>#N/A</v>
      </c>
      <c r="U42" s="1">
        <f t="shared" si="11"/>
        <v>1</v>
      </c>
      <c r="V42" s="8">
        <f t="shared" si="12"/>
        <v>213.81</v>
      </c>
      <c r="W42" s="1" t="str">
        <f t="shared" si="13"/>
        <v>#N/A</v>
      </c>
      <c r="X42" s="1" t="str">
        <f t="shared" si="14"/>
        <v>#N/A</v>
      </c>
    </row>
    <row r="43">
      <c r="A43" s="1" t="str">
        <f>TRIM(CLEAN(PROPER(peakflow_q1_2025_dirty!A41)))</f>
        <v>D-1187</v>
      </c>
      <c r="B43" s="10">
        <f>DATEVALUE(TRIM(CLEAN(peakflow_q1_2025_dirty!B41)))</f>
        <v>45669</v>
      </c>
      <c r="C43" s="1" t="str">
        <f>TRIM(CLEAN(PROPER(peakflow_q1_2025_dirty!C41)))</f>
        <v>Granite Co</v>
      </c>
      <c r="D43" s="1" t="str">
        <f>TRIM(CLEAN(PROPER(peakflow_q1_2025_dirty!D41)))</f>
        <v>Pro Plan</v>
      </c>
      <c r="E43" s="1" t="str">
        <f>TRIM(CLEAN(PROPER(peakflow_q1_2025_dirty!E41)))</f>
        <v>Sophie Laurent</v>
      </c>
      <c r="F43" s="1" t="str">
        <f>TRIM(CLEAN(PROPER(peakflow_q1_2025_dirty!F41)))</f>
        <v>Maya Rodriguez</v>
      </c>
      <c r="G43" s="1" t="str">
        <f>TRIM(CLEAN(PROPER(peakflow_q1_2025_dirty!G41)))</f>
        <v>North America</v>
      </c>
      <c r="H43" s="1">
        <f>VALUE(TRIM((CLEAN(peakflow_q1_2025_dirty!H41))))</f>
        <v>2</v>
      </c>
      <c r="I43" s="8">
        <f>VALUE(SUBSTITUTE(peakflow_q1_2025_dirty!I41,".","," ))</f>
        <v>251.17</v>
      </c>
      <c r="J43" s="8">
        <f t="shared" si="1"/>
        <v>502.34</v>
      </c>
      <c r="K43" s="1" t="str">
        <f t="shared" si="2"/>
        <v>Januar</v>
      </c>
      <c r="M43" s="1" t="str">
        <f t="shared" si="3"/>
        <v>#N/A</v>
      </c>
      <c r="N43" s="1" t="str">
        <f t="shared" si="4"/>
        <v>#N/A</v>
      </c>
      <c r="O43" s="1" t="str">
        <f t="shared" si="5"/>
        <v>#N/A</v>
      </c>
      <c r="P43" s="1" t="str">
        <f t="shared" si="6"/>
        <v>#N/A</v>
      </c>
      <c r="Q43" s="1" t="str">
        <f t="shared" si="7"/>
        <v>#N/A</v>
      </c>
      <c r="R43" s="1" t="str">
        <f t="shared" si="8"/>
        <v>#N/A</v>
      </c>
      <c r="S43" s="1" t="str">
        <f t="shared" si="9"/>
        <v>#N/A</v>
      </c>
      <c r="T43" s="1" t="str">
        <f t="shared" si="10"/>
        <v>#N/A</v>
      </c>
      <c r="U43" s="1">
        <f t="shared" si="11"/>
        <v>2</v>
      </c>
      <c r="V43" s="8">
        <f t="shared" si="12"/>
        <v>251.17</v>
      </c>
      <c r="W43" s="1" t="str">
        <f t="shared" si="13"/>
        <v>#N/A</v>
      </c>
      <c r="X43" s="1" t="str">
        <f t="shared" si="14"/>
        <v>#N/A</v>
      </c>
    </row>
    <row r="44">
      <c r="A44" s="1" t="str">
        <f>TRIM(CLEAN(PROPER(peakflow_q1_2025_dirty!A42)))</f>
        <v>D-1220</v>
      </c>
      <c r="B44" s="10">
        <f>DATEVALUE(TRIM(CLEAN(peakflow_q1_2025_dirty!B42)))</f>
        <v>45669</v>
      </c>
      <c r="C44" s="1" t="str">
        <f>TRIM(CLEAN(PROPER(peakflow_q1_2025_dirty!C42)))</f>
        <v>Echo Labs</v>
      </c>
      <c r="D44" s="1" t="str">
        <f>TRIM(CLEAN(PROPER(peakflow_q1_2025_dirty!D42)))</f>
        <v>Add-On: Analytics</v>
      </c>
      <c r="E44" s="1" t="str">
        <f>TRIM(CLEAN(PROPER(peakflow_q1_2025_dirty!E42)))</f>
        <v>Marcus Johnson</v>
      </c>
      <c r="F44" s="1" t="str">
        <f>TRIM(CLEAN(PROPER(peakflow_q1_2025_dirty!F42)))</f>
        <v>Sarah Chen</v>
      </c>
      <c r="G44" s="1" t="str">
        <f>TRIM(CLEAN(PROPER(peakflow_q1_2025_dirty!G42)))</f>
        <v>North America</v>
      </c>
      <c r="H44" s="1">
        <f>VALUE(TRIM((CLEAN(peakflow_q1_2025_dirty!H42))))</f>
        <v>1</v>
      </c>
      <c r="I44" s="8">
        <f>VALUE(SUBSTITUTE(peakflow_q1_2025_dirty!I42,".","," ))</f>
        <v>92.43</v>
      </c>
      <c r="J44" s="8">
        <f t="shared" si="1"/>
        <v>92.43</v>
      </c>
      <c r="K44" s="1" t="str">
        <f t="shared" si="2"/>
        <v>Januar</v>
      </c>
      <c r="M44" s="1">
        <f t="shared" si="3"/>
        <v>1</v>
      </c>
      <c r="N44" s="8">
        <f t="shared" si="4"/>
        <v>92.43</v>
      </c>
      <c r="O44" s="1" t="str">
        <f t="shared" si="5"/>
        <v>#N/A</v>
      </c>
      <c r="P44" s="1" t="str">
        <f t="shared" si="6"/>
        <v>#N/A</v>
      </c>
      <c r="Q44" s="1" t="str">
        <f t="shared" si="7"/>
        <v>#N/A</v>
      </c>
      <c r="R44" s="1" t="str">
        <f t="shared" si="8"/>
        <v>#N/A</v>
      </c>
      <c r="S44" s="1" t="str">
        <f t="shared" si="9"/>
        <v>#N/A</v>
      </c>
      <c r="T44" s="1" t="str">
        <f t="shared" si="10"/>
        <v>#N/A</v>
      </c>
      <c r="U44" s="1" t="str">
        <f t="shared" si="11"/>
        <v>#N/A</v>
      </c>
      <c r="V44" s="1" t="str">
        <f t="shared" si="12"/>
        <v>#N/A</v>
      </c>
      <c r="W44" s="1" t="str">
        <f t="shared" si="13"/>
        <v>#N/A</v>
      </c>
      <c r="X44" s="1" t="str">
        <f t="shared" si="14"/>
        <v>#N/A</v>
      </c>
    </row>
    <row r="45">
      <c r="A45" s="1" t="str">
        <f>TRIM(CLEAN(PROPER(peakflow_q1_2025_dirty!A43)))</f>
        <v>D-1058</v>
      </c>
      <c r="B45" s="10">
        <f>DATEVALUE(TRIM(CLEAN(peakflow_q1_2025_dirty!B43)))</f>
        <v>45670</v>
      </c>
      <c r="C45" s="1" t="str">
        <f>TRIM(CLEAN(PROPER(peakflow_q1_2025_dirty!C43)))</f>
        <v>Nimbus Co</v>
      </c>
      <c r="D45" s="1" t="str">
        <f>TRIM(CLEAN(PROPER(peakflow_q1_2025_dirty!D43)))</f>
        <v>Business Plan</v>
      </c>
      <c r="E45" s="1" t="str">
        <f>TRIM(CLEAN(PROPER(peakflow_q1_2025_dirty!E43)))</f>
        <v>Marcus Johnson</v>
      </c>
      <c r="F45" s="1" t="str">
        <f>TRIM(CLEAN(PROPER(peakflow_q1_2025_dirty!F43)))</f>
        <v>Sarah Chen</v>
      </c>
      <c r="G45" s="1" t="str">
        <f>TRIM(CLEAN(UPPER(peakflow_q1_2025_dirty!G43)))</f>
        <v>APAC</v>
      </c>
      <c r="H45" s="1">
        <f>VALUE(TRIM((CLEAN(peakflow_q1_2025_dirty!H43))))</f>
        <v>5</v>
      </c>
      <c r="I45" s="8">
        <f>VALUE(SUBSTITUTE(peakflow_q1_2025_dirty!I43,".","," ))</f>
        <v>422.7</v>
      </c>
      <c r="J45" s="8">
        <f t="shared" si="1"/>
        <v>2113.5</v>
      </c>
      <c r="K45" s="1" t="str">
        <f t="shared" si="2"/>
        <v>Januar</v>
      </c>
      <c r="M45" s="1" t="str">
        <f t="shared" si="3"/>
        <v>#N/A</v>
      </c>
      <c r="N45" s="1" t="str">
        <f t="shared" si="4"/>
        <v>#N/A</v>
      </c>
      <c r="O45" s="1" t="str">
        <f t="shared" si="5"/>
        <v>#N/A</v>
      </c>
      <c r="P45" s="1" t="str">
        <f t="shared" si="6"/>
        <v>#N/A</v>
      </c>
      <c r="Q45" s="1">
        <f t="shared" si="7"/>
        <v>5</v>
      </c>
      <c r="R45" s="8">
        <f t="shared" si="8"/>
        <v>422.7</v>
      </c>
      <c r="S45" s="1" t="str">
        <f t="shared" si="9"/>
        <v>#N/A</v>
      </c>
      <c r="T45" s="1" t="str">
        <f t="shared" si="10"/>
        <v>#N/A</v>
      </c>
      <c r="U45" s="1" t="str">
        <f t="shared" si="11"/>
        <v>#N/A</v>
      </c>
      <c r="V45" s="1" t="str">
        <f t="shared" si="12"/>
        <v>#N/A</v>
      </c>
      <c r="W45" s="1" t="str">
        <f t="shared" si="13"/>
        <v>#N/A</v>
      </c>
      <c r="X45" s="1" t="str">
        <f t="shared" si="14"/>
        <v>#N/A</v>
      </c>
    </row>
    <row r="46">
      <c r="A46" s="1" t="str">
        <f>TRIM(CLEAN(PROPER(peakflow_q1_2025_dirty!A44)))</f>
        <v>D-1229</v>
      </c>
      <c r="B46" s="10">
        <f>DATEVALUE(TRIM(CLEAN(peakflow_q1_2025_dirty!B44)))</f>
        <v>45670</v>
      </c>
      <c r="C46" s="1" t="str">
        <f>TRIM(CLEAN(PROPER(peakflow_q1_2025_dirty!C44)))</f>
        <v>Arcadia Inc</v>
      </c>
      <c r="D46" s="1" t="str">
        <f>TRIM(CLEAN(PROPER(peakflow_q1_2025_dirty!D44)))</f>
        <v>Business Plan</v>
      </c>
      <c r="E46" s="1" t="str">
        <f>TRIM(CLEAN(PROPER(peakflow_q1_2025_dirty!E44)))</f>
        <v>David Kim</v>
      </c>
      <c r="F46" s="1" t="str">
        <f>TRIM(CLEAN(PROPER(peakflow_q1_2025_dirty!F44)))</f>
        <v>Sarah Chen</v>
      </c>
      <c r="G46" s="1" t="str">
        <f>TRIM(CLEAN(UPPER(peakflow_q1_2025_dirty!G44)))</f>
        <v>EMEA</v>
      </c>
      <c r="H46" s="1">
        <f>VALUE(TRIM((CLEAN(peakflow_q1_2025_dirty!H44))))</f>
        <v>2</v>
      </c>
      <c r="I46" s="8">
        <f>VALUE(SUBSTITUTE(peakflow_q1_2025_dirty!I44,".","," ))</f>
        <v>409.02</v>
      </c>
      <c r="J46" s="8">
        <f t="shared" si="1"/>
        <v>818.04</v>
      </c>
      <c r="K46" s="1" t="str">
        <f t="shared" si="2"/>
        <v>Januar</v>
      </c>
      <c r="M46" s="1" t="str">
        <f t="shared" si="3"/>
        <v>#N/A</v>
      </c>
      <c r="N46" s="1" t="str">
        <f t="shared" si="4"/>
        <v>#N/A</v>
      </c>
      <c r="O46" s="1" t="str">
        <f t="shared" si="5"/>
        <v>#N/A</v>
      </c>
      <c r="P46" s="1" t="str">
        <f t="shared" si="6"/>
        <v>#N/A</v>
      </c>
      <c r="Q46" s="1">
        <f t="shared" si="7"/>
        <v>2</v>
      </c>
      <c r="R46" s="8">
        <f t="shared" si="8"/>
        <v>409.02</v>
      </c>
      <c r="S46" s="1" t="str">
        <f t="shared" si="9"/>
        <v>#N/A</v>
      </c>
      <c r="T46" s="1" t="str">
        <f t="shared" si="10"/>
        <v>#N/A</v>
      </c>
      <c r="U46" s="1" t="str">
        <f t="shared" si="11"/>
        <v>#N/A</v>
      </c>
      <c r="V46" s="1" t="str">
        <f t="shared" si="12"/>
        <v>#N/A</v>
      </c>
      <c r="W46" s="1" t="str">
        <f t="shared" si="13"/>
        <v>#N/A</v>
      </c>
      <c r="X46" s="1" t="str">
        <f t="shared" si="14"/>
        <v>#N/A</v>
      </c>
    </row>
    <row r="47">
      <c r="A47" s="1" t="str">
        <f>TRIM(CLEAN(PROPER(peakflow_q1_2025_dirty!A45)))</f>
        <v>D-1245</v>
      </c>
      <c r="B47" s="10">
        <f>DATEVALUE(TRIM(CLEAN(peakflow_q1_2025_dirty!B45)))</f>
        <v>45670</v>
      </c>
      <c r="C47" s="1" t="str">
        <f>TRIM(CLEAN(PROPER(peakflow_q1_2025_dirty!C45)))</f>
        <v>Quill Labs</v>
      </c>
      <c r="D47" s="1" t="str">
        <f>TRIM(CLEAN(PROPER(peakflow_q1_2025_dirty!D45)))</f>
        <v>Pro Plan</v>
      </c>
      <c r="E47" s="1" t="str">
        <f>TRIM(CLEAN(PROPER(peakflow_q1_2025_dirty!E45)))</f>
        <v>Priya Patel</v>
      </c>
      <c r="F47" s="1" t="str">
        <f>TRIM(CLEAN(PROPER(peakflow_q1_2025_dirty!F45)))</f>
        <v>Maya Rodriguez</v>
      </c>
      <c r="G47" s="1" t="str">
        <f>TRIM(CLEAN(PROPER(peakflow_q1_2025_dirty!G45)))</f>
        <v>North America</v>
      </c>
      <c r="H47" s="1">
        <f>VALUE(TRIM((CLEAN(peakflow_q1_2025_dirty!H45))))</f>
        <v>5</v>
      </c>
      <c r="I47" s="8">
        <f>VALUE(SUBSTITUTE(peakflow_q1_2025_dirty!I45,".","," ))</f>
        <v>177.21</v>
      </c>
      <c r="J47" s="8">
        <f t="shared" si="1"/>
        <v>886.05</v>
      </c>
      <c r="K47" s="1" t="str">
        <f t="shared" si="2"/>
        <v>Januar</v>
      </c>
      <c r="M47" s="1" t="str">
        <f t="shared" si="3"/>
        <v>#N/A</v>
      </c>
      <c r="N47" s="1" t="str">
        <f t="shared" si="4"/>
        <v>#N/A</v>
      </c>
      <c r="O47" s="1" t="str">
        <f t="shared" si="5"/>
        <v>#N/A</v>
      </c>
      <c r="P47" s="1" t="str">
        <f t="shared" si="6"/>
        <v>#N/A</v>
      </c>
      <c r="Q47" s="1" t="str">
        <f t="shared" si="7"/>
        <v>#N/A</v>
      </c>
      <c r="R47" s="1" t="str">
        <f t="shared" si="8"/>
        <v>#N/A</v>
      </c>
      <c r="S47" s="1" t="str">
        <f t="shared" si="9"/>
        <v>#N/A</v>
      </c>
      <c r="T47" s="1" t="str">
        <f t="shared" si="10"/>
        <v>#N/A</v>
      </c>
      <c r="U47" s="1">
        <f t="shared" si="11"/>
        <v>5</v>
      </c>
      <c r="V47" s="8">
        <f t="shared" si="12"/>
        <v>177.21</v>
      </c>
      <c r="W47" s="1" t="str">
        <f t="shared" si="13"/>
        <v>#N/A</v>
      </c>
      <c r="X47" s="1" t="str">
        <f t="shared" si="14"/>
        <v>#N/A</v>
      </c>
    </row>
    <row r="48">
      <c r="A48" s="1" t="str">
        <f>TRIM(CLEAN(PROPER(peakflow_q1_2025_dirty!A46)))</f>
        <v>D-1075</v>
      </c>
      <c r="B48" s="10">
        <f>DATEVALUE(TRIM(CLEAN(peakflow_q1_2025_dirty!B46)))</f>
        <v>45671</v>
      </c>
      <c r="C48" s="1" t="str">
        <f>TRIM(CLEAN(PROPER(peakflow_q1_2025_dirty!C46)))</f>
        <v>Beacon Labs</v>
      </c>
      <c r="D48" s="1" t="str">
        <f>TRIM(CLEAN(PROPER(peakflow_q1_2025_dirty!D46)))</f>
        <v>Pro Plan</v>
      </c>
      <c r="E48" s="1" t="str">
        <f>TRIM(CLEAN(PROPER(peakflow_q1_2025_dirty!E46)))</f>
        <v>Carlos Mendez</v>
      </c>
      <c r="F48" s="1" t="str">
        <f>TRIM(CLEAN(PROPER(peakflow_q1_2025_dirty!F46)))</f>
        <v>Maya Rodriguez</v>
      </c>
      <c r="G48" s="1" t="str">
        <f>TRIM(CLEAN(UPPER(peakflow_q1_2025_dirty!G46)))</f>
        <v>APAC</v>
      </c>
      <c r="H48" s="1">
        <f>VALUE(TRIM((CLEAN(peakflow_q1_2025_dirty!H46))))</f>
        <v>5</v>
      </c>
      <c r="I48" s="8">
        <f>VALUE(SUBSTITUTE(peakflow_q1_2025_dirty!I46,".","," ))</f>
        <v>230.19</v>
      </c>
      <c r="J48" s="8">
        <f t="shared" si="1"/>
        <v>1150.95</v>
      </c>
      <c r="K48" s="1" t="str">
        <f t="shared" si="2"/>
        <v>Januar</v>
      </c>
      <c r="M48" s="1" t="str">
        <f t="shared" si="3"/>
        <v>#N/A</v>
      </c>
      <c r="N48" s="1" t="str">
        <f t="shared" si="4"/>
        <v>#N/A</v>
      </c>
      <c r="O48" s="1" t="str">
        <f t="shared" si="5"/>
        <v>#N/A</v>
      </c>
      <c r="P48" s="1" t="str">
        <f t="shared" si="6"/>
        <v>#N/A</v>
      </c>
      <c r="Q48" s="1" t="str">
        <f t="shared" si="7"/>
        <v>#N/A</v>
      </c>
      <c r="R48" s="1" t="str">
        <f t="shared" si="8"/>
        <v>#N/A</v>
      </c>
      <c r="S48" s="1" t="str">
        <f t="shared" si="9"/>
        <v>#N/A</v>
      </c>
      <c r="T48" s="1" t="str">
        <f t="shared" si="10"/>
        <v>#N/A</v>
      </c>
      <c r="U48" s="1">
        <f t="shared" si="11"/>
        <v>5</v>
      </c>
      <c r="V48" s="8">
        <f t="shared" si="12"/>
        <v>230.19</v>
      </c>
      <c r="W48" s="1" t="str">
        <f t="shared" si="13"/>
        <v>#N/A</v>
      </c>
      <c r="X48" s="1" t="str">
        <f t="shared" si="14"/>
        <v>#N/A</v>
      </c>
    </row>
    <row r="49">
      <c r="A49" s="1" t="str">
        <f>TRIM(CLEAN(PROPER(peakflow_q1_2025_dirty!A47)))</f>
        <v>D-1079</v>
      </c>
      <c r="B49" s="10">
        <f>DATEVALUE(TRIM(CLEAN(peakflow_q1_2025_dirty!B47)))</f>
        <v>45671</v>
      </c>
      <c r="C49" s="1" t="str">
        <f>TRIM(CLEAN(PROPER(peakflow_q1_2025_dirty!C47)))</f>
        <v>Onyx Group</v>
      </c>
      <c r="D49" s="1" t="str">
        <f>TRIM(CLEAN(PROPER(peakflow_q1_2025_dirty!D47)))</f>
        <v>Starter Plan</v>
      </c>
      <c r="E49" s="1" t="str">
        <f>TRIM(CLEAN(PROPER(peakflow_q1_2025_dirty!E47)))</f>
        <v>Nina Petrov</v>
      </c>
      <c r="F49" s="1" t="str">
        <f>TRIM(CLEAN(PROPER(peakflow_q1_2025_dirty!F47)))</f>
        <v>Lukas Becker</v>
      </c>
      <c r="G49" s="1" t="str">
        <f>TRIM(CLEAN(PROPER(peakflow_q1_2025_dirty!G47)))</f>
        <v>North America</v>
      </c>
      <c r="H49" s="1">
        <f>VALUE(TRIM((CLEAN(peakflow_q1_2025_dirty!H47))))</f>
        <v>1</v>
      </c>
      <c r="I49" s="8">
        <f>VALUE(SUBSTITUTE(peakflow_q1_2025_dirty!I47,".","," ))</f>
        <v>66.71</v>
      </c>
      <c r="J49" s="8">
        <f t="shared" si="1"/>
        <v>66.71</v>
      </c>
      <c r="K49" s="1" t="str">
        <f t="shared" si="2"/>
        <v>Januar</v>
      </c>
      <c r="M49" s="1" t="str">
        <f t="shared" si="3"/>
        <v>#N/A</v>
      </c>
      <c r="N49" s="1" t="str">
        <f t="shared" si="4"/>
        <v>#N/A</v>
      </c>
      <c r="O49" s="1" t="str">
        <f t="shared" si="5"/>
        <v>#N/A</v>
      </c>
      <c r="P49" s="1" t="str">
        <f t="shared" si="6"/>
        <v>#N/A</v>
      </c>
      <c r="Q49" s="1" t="str">
        <f t="shared" si="7"/>
        <v>#N/A</v>
      </c>
      <c r="R49" s="1" t="str">
        <f t="shared" si="8"/>
        <v>#N/A</v>
      </c>
      <c r="S49" s="1" t="str">
        <f t="shared" si="9"/>
        <v>#N/A</v>
      </c>
      <c r="T49" s="1" t="str">
        <f t="shared" si="10"/>
        <v>#N/A</v>
      </c>
      <c r="U49" s="1" t="str">
        <f t="shared" si="11"/>
        <v>#N/A</v>
      </c>
      <c r="V49" s="1" t="str">
        <f t="shared" si="12"/>
        <v>#N/A</v>
      </c>
      <c r="W49" s="1">
        <f t="shared" si="13"/>
        <v>1</v>
      </c>
      <c r="X49" s="8">
        <f t="shared" si="14"/>
        <v>66.71</v>
      </c>
    </row>
    <row r="50">
      <c r="A50" s="1" t="str">
        <f>TRIM(CLEAN(PROPER(peakflow_q1_2025_dirty!A48)))</f>
        <v>D-1169</v>
      </c>
      <c r="B50" s="10">
        <f>DATEVALUE(TRIM(CLEAN(peakflow_q1_2025_dirty!B48)))</f>
        <v>45671</v>
      </c>
      <c r="C50" s="1" t="str">
        <f>TRIM(CLEAN(PROPER(peakflow_q1_2025_dirty!C48)))</f>
        <v>Quartz Co</v>
      </c>
      <c r="D50" s="1" t="str">
        <f>TRIM(CLEAN(PROPER(peakflow_q1_2025_dirty!D48)))</f>
        <v>Business Plan</v>
      </c>
      <c r="E50" s="1" t="str">
        <f>TRIM(CLEAN(PROPER(peakflow_q1_2025_dirty!E48)))</f>
        <v>David Kim</v>
      </c>
      <c r="F50" s="1" t="str">
        <f>TRIM(CLEAN(PROPER(peakflow_q1_2025_dirty!F48)))</f>
        <v>Sarah Chen</v>
      </c>
      <c r="G50" s="1" t="str">
        <f>TRIM(CLEAN(UPPER(peakflow_q1_2025_dirty!G48)))</f>
        <v>EMEA</v>
      </c>
      <c r="H50" s="1">
        <f>VALUE(TRIM((CLEAN(peakflow_q1_2025_dirty!H48))))</f>
        <v>1</v>
      </c>
      <c r="I50" s="8">
        <f>VALUE(SUBSTITUTE(peakflow_q1_2025_dirty!I48,".","," ))</f>
        <v>426.07</v>
      </c>
      <c r="J50" s="8">
        <f t="shared" si="1"/>
        <v>426.07</v>
      </c>
      <c r="K50" s="1" t="str">
        <f t="shared" si="2"/>
        <v>Januar</v>
      </c>
      <c r="M50" s="1" t="str">
        <f t="shared" si="3"/>
        <v>#N/A</v>
      </c>
      <c r="N50" s="1" t="str">
        <f t="shared" si="4"/>
        <v>#N/A</v>
      </c>
      <c r="O50" s="1" t="str">
        <f t="shared" si="5"/>
        <v>#N/A</v>
      </c>
      <c r="P50" s="1" t="str">
        <f t="shared" si="6"/>
        <v>#N/A</v>
      </c>
      <c r="Q50" s="1">
        <f t="shared" si="7"/>
        <v>1</v>
      </c>
      <c r="R50" s="8">
        <f t="shared" si="8"/>
        <v>426.07</v>
      </c>
      <c r="S50" s="1" t="str">
        <f t="shared" si="9"/>
        <v>#N/A</v>
      </c>
      <c r="T50" s="1" t="str">
        <f t="shared" si="10"/>
        <v>#N/A</v>
      </c>
      <c r="U50" s="1" t="str">
        <f t="shared" si="11"/>
        <v>#N/A</v>
      </c>
      <c r="V50" s="1" t="str">
        <f t="shared" si="12"/>
        <v>#N/A</v>
      </c>
      <c r="W50" s="1" t="str">
        <f t="shared" si="13"/>
        <v>#N/A</v>
      </c>
      <c r="X50" s="1" t="str">
        <f t="shared" si="14"/>
        <v>#N/A</v>
      </c>
    </row>
    <row r="51">
      <c r="A51" s="1" t="str">
        <f>TRIM(CLEAN(PROPER(peakflow_q1_2025_dirty!A49)))</f>
        <v>D-1234</v>
      </c>
      <c r="B51" s="10">
        <f>DATEVALUE(TRIM(CLEAN(peakflow_q1_2025_dirty!B49)))</f>
        <v>45671</v>
      </c>
      <c r="C51" s="1" t="str">
        <f>TRIM(CLEAN(PROPER(peakflow_q1_2025_dirty!C49)))</f>
        <v>Pacific Co</v>
      </c>
      <c r="D51" s="1" t="str">
        <f>TRIM(CLEAN(PROPER(peakflow_q1_2025_dirty!D49)))</f>
        <v>Pro Plan</v>
      </c>
      <c r="E51" s="1" t="str">
        <f>TRIM(CLEAN(PROPER(peakflow_q1_2025_dirty!E49)))</f>
        <v>Priya Patel</v>
      </c>
      <c r="F51" s="1" t="str">
        <f>TRIM(CLEAN(PROPER(peakflow_q1_2025_dirty!F49)))</f>
        <v>Maya Rodriguez</v>
      </c>
      <c r="G51" s="1" t="str">
        <f>TRIM(CLEAN(PROPER(peakflow_q1_2025_dirty!G49)))</f>
        <v>North America</v>
      </c>
      <c r="H51" s="1">
        <f>VALUE(TRIM((CLEAN(peakflow_q1_2025_dirty!H49))))</f>
        <v>2</v>
      </c>
      <c r="I51" s="8">
        <f>VALUE(SUBSTITUTE(peakflow_q1_2025_dirty!I49,".","," ))</f>
        <v>233.74</v>
      </c>
      <c r="J51" s="8">
        <f t="shared" si="1"/>
        <v>467.48</v>
      </c>
      <c r="K51" s="1" t="str">
        <f t="shared" si="2"/>
        <v>Januar</v>
      </c>
      <c r="M51" s="1" t="str">
        <f t="shared" si="3"/>
        <v>#N/A</v>
      </c>
      <c r="N51" s="1" t="str">
        <f t="shared" si="4"/>
        <v>#N/A</v>
      </c>
      <c r="O51" s="1" t="str">
        <f t="shared" si="5"/>
        <v>#N/A</v>
      </c>
      <c r="P51" s="1" t="str">
        <f t="shared" si="6"/>
        <v>#N/A</v>
      </c>
      <c r="Q51" s="1" t="str">
        <f t="shared" si="7"/>
        <v>#N/A</v>
      </c>
      <c r="R51" s="1" t="str">
        <f t="shared" si="8"/>
        <v>#N/A</v>
      </c>
      <c r="S51" s="1" t="str">
        <f t="shared" si="9"/>
        <v>#N/A</v>
      </c>
      <c r="T51" s="1" t="str">
        <f t="shared" si="10"/>
        <v>#N/A</v>
      </c>
      <c r="U51" s="1">
        <f t="shared" si="11"/>
        <v>2</v>
      </c>
      <c r="V51" s="8">
        <f t="shared" si="12"/>
        <v>233.74</v>
      </c>
      <c r="W51" s="1" t="str">
        <f t="shared" si="13"/>
        <v>#N/A</v>
      </c>
      <c r="X51" s="1" t="str">
        <f t="shared" si="14"/>
        <v>#N/A</v>
      </c>
    </row>
    <row r="52">
      <c r="A52" s="1" t="str">
        <f>TRIM(CLEAN(PROPER(peakflow_q1_2025_dirty!A50)))</f>
        <v>D-1198</v>
      </c>
      <c r="B52" s="10">
        <f>DATEVALUE(TRIM(CLEAN(peakflow_q1_2025_dirty!B50)))</f>
        <v>45672</v>
      </c>
      <c r="C52" s="1" t="str">
        <f>TRIM(CLEAN(PROPER(peakflow_q1_2025_dirty!C50)))</f>
        <v>Juniper Group</v>
      </c>
      <c r="D52" s="1" t="str">
        <f>TRIM(CLEAN(PROPER(peakflow_q1_2025_dirty!D50)))</f>
        <v>Business Plan</v>
      </c>
      <c r="E52" s="1" t="str">
        <f>TRIM(CLEAN(PROPER(peakflow_q1_2025_dirty!E50)))</f>
        <v>Aisha Hassan</v>
      </c>
      <c r="F52" s="1" t="str">
        <f>TRIM(CLEAN(PROPER(peakflow_q1_2025_dirty!F50)))</f>
        <v>Sarah Chen</v>
      </c>
      <c r="G52" s="1" t="str">
        <f>TRIM(CLEAN(UPPER(peakflow_q1_2025_dirty!G50)))</f>
        <v>EMEA</v>
      </c>
      <c r="H52" s="1">
        <f>VALUE(TRIM((CLEAN(peakflow_q1_2025_dirty!H50))))</f>
        <v>1</v>
      </c>
      <c r="I52" s="8">
        <f>VALUE(SUBSTITUTE(peakflow_q1_2025_dirty!I50,".","," ))</f>
        <v>420.94</v>
      </c>
      <c r="J52" s="8">
        <f t="shared" si="1"/>
        <v>420.94</v>
      </c>
      <c r="K52" s="1" t="str">
        <f t="shared" si="2"/>
        <v>Januar</v>
      </c>
      <c r="M52" s="1" t="str">
        <f t="shared" si="3"/>
        <v>#N/A</v>
      </c>
      <c r="N52" s="1" t="str">
        <f t="shared" si="4"/>
        <v>#N/A</v>
      </c>
      <c r="O52" s="1" t="str">
        <f t="shared" si="5"/>
        <v>#N/A</v>
      </c>
      <c r="P52" s="1" t="str">
        <f t="shared" si="6"/>
        <v>#N/A</v>
      </c>
      <c r="Q52" s="1">
        <f t="shared" si="7"/>
        <v>1</v>
      </c>
      <c r="R52" s="8">
        <f t="shared" si="8"/>
        <v>420.94</v>
      </c>
      <c r="S52" s="1" t="str">
        <f t="shared" si="9"/>
        <v>#N/A</v>
      </c>
      <c r="T52" s="1" t="str">
        <f t="shared" si="10"/>
        <v>#N/A</v>
      </c>
      <c r="U52" s="1" t="str">
        <f t="shared" si="11"/>
        <v>#N/A</v>
      </c>
      <c r="V52" s="1" t="str">
        <f t="shared" si="12"/>
        <v>#N/A</v>
      </c>
      <c r="W52" s="1" t="str">
        <f t="shared" si="13"/>
        <v>#N/A</v>
      </c>
      <c r="X52" s="1" t="str">
        <f t="shared" si="14"/>
        <v>#N/A</v>
      </c>
    </row>
    <row r="53">
      <c r="A53" s="1" t="str">
        <f>TRIM(CLEAN(PROPER(peakflow_q1_2025_dirty!A52)))</f>
        <v>D-1011</v>
      </c>
      <c r="B53" s="10">
        <f>DATEVALUE(TRIM(CLEAN(peakflow_q1_2025_dirty!B52)))</f>
        <v>45674</v>
      </c>
      <c r="C53" s="1" t="str">
        <f>TRIM(CLEAN(PROPER(peakflow_q1_2025_dirty!C52)))</f>
        <v>Harbor Inc</v>
      </c>
      <c r="D53" s="1" t="str">
        <f>TRIM(CLEAN(PROPER(peakflow_q1_2025_dirty!D52)))</f>
        <v>Business Plan</v>
      </c>
      <c r="E53" s="1" t="str">
        <f>TRIM(CLEAN(PROPER(peakflow_q1_2025_dirty!E52)))</f>
        <v>James Park</v>
      </c>
      <c r="F53" s="1" t="str">
        <f>TRIM(CLEAN(PROPER(peakflow_q1_2025_dirty!F52)))</f>
        <v>Owen Walsh</v>
      </c>
      <c r="G53" s="1" t="str">
        <f>TRIM(CLEAN(PROPER(peakflow_q1_2025_dirty!G52)))</f>
        <v>North America</v>
      </c>
      <c r="H53" s="1">
        <f>VALUE(TRIM((CLEAN(peakflow_q1_2025_dirty!H52))))</f>
        <v>1</v>
      </c>
      <c r="I53" s="8">
        <f>VALUE(SUBSTITUTE(peakflow_q1_2025_dirty!I52,".","," ))</f>
        <v>410.61</v>
      </c>
      <c r="J53" s="8">
        <f t="shared" si="1"/>
        <v>410.61</v>
      </c>
      <c r="K53" s="1" t="str">
        <f t="shared" si="2"/>
        <v>Januar</v>
      </c>
      <c r="M53" s="1" t="str">
        <f t="shared" si="3"/>
        <v>#N/A</v>
      </c>
      <c r="N53" s="1" t="str">
        <f t="shared" si="4"/>
        <v>#N/A</v>
      </c>
      <c r="O53" s="1" t="str">
        <f t="shared" si="5"/>
        <v>#N/A</v>
      </c>
      <c r="P53" s="1" t="str">
        <f t="shared" si="6"/>
        <v>#N/A</v>
      </c>
      <c r="Q53" s="1">
        <f t="shared" si="7"/>
        <v>1</v>
      </c>
      <c r="R53" s="8">
        <f t="shared" si="8"/>
        <v>410.61</v>
      </c>
      <c r="S53" s="1" t="str">
        <f t="shared" si="9"/>
        <v>#N/A</v>
      </c>
      <c r="T53" s="1" t="str">
        <f t="shared" si="10"/>
        <v>#N/A</v>
      </c>
      <c r="U53" s="1" t="str">
        <f t="shared" si="11"/>
        <v>#N/A</v>
      </c>
      <c r="V53" s="1" t="str">
        <f t="shared" si="12"/>
        <v>#N/A</v>
      </c>
      <c r="W53" s="1" t="str">
        <f t="shared" si="13"/>
        <v>#N/A</v>
      </c>
      <c r="X53" s="1" t="str">
        <f t="shared" si="14"/>
        <v>#N/A</v>
      </c>
    </row>
    <row r="54">
      <c r="A54" s="1" t="str">
        <f>TRIM(CLEAN(PROPER(peakflow_q1_2025_dirty!A53)))</f>
        <v>D-1041</v>
      </c>
      <c r="B54" s="10">
        <f>DATEVALUE(TRIM(CLEAN(peakflow_q1_2025_dirty!B53)))</f>
        <v>45674</v>
      </c>
      <c r="C54" s="1" t="str">
        <f>TRIM(CLEAN(PROPER(peakflow_q1_2025_dirty!C53)))</f>
        <v>Nova Inc</v>
      </c>
      <c r="D54" s="1" t="str">
        <f>TRIM(CLEAN(PROPER(peakflow_q1_2025_dirty!D53)))</f>
        <v>Business Plan</v>
      </c>
      <c r="E54" s="1" t="str">
        <f>TRIM(CLEAN(PROPER(peakflow_q1_2025_dirty!E53)))</f>
        <v>Aisha Hassan</v>
      </c>
      <c r="F54" s="1" t="str">
        <f>TRIM(CLEAN(PROPER(peakflow_q1_2025_dirty!F53)))</f>
        <v>Sarah Chen</v>
      </c>
      <c r="G54" s="1" t="str">
        <f>TRIM(CLEAN(UPPER(peakflow_q1_2025_dirty!G53)))</f>
        <v>APAC</v>
      </c>
      <c r="H54" s="1">
        <f>VALUE(TRIM((CLEAN(peakflow_q1_2025_dirty!H53))))</f>
        <v>1</v>
      </c>
      <c r="I54" s="8">
        <f>VALUE(SUBSTITUTE(peakflow_q1_2025_dirty!I53,".","," ))</f>
        <v>451.68</v>
      </c>
      <c r="J54" s="8">
        <f t="shared" si="1"/>
        <v>451.68</v>
      </c>
      <c r="K54" s="1" t="str">
        <f t="shared" si="2"/>
        <v>Januar</v>
      </c>
      <c r="M54" s="1" t="str">
        <f t="shared" si="3"/>
        <v>#N/A</v>
      </c>
      <c r="N54" s="1" t="str">
        <f t="shared" si="4"/>
        <v>#N/A</v>
      </c>
      <c r="O54" s="1" t="str">
        <f t="shared" si="5"/>
        <v>#N/A</v>
      </c>
      <c r="P54" s="1" t="str">
        <f t="shared" si="6"/>
        <v>#N/A</v>
      </c>
      <c r="Q54" s="1">
        <f t="shared" si="7"/>
        <v>1</v>
      </c>
      <c r="R54" s="8">
        <f t="shared" si="8"/>
        <v>451.68</v>
      </c>
      <c r="S54" s="1" t="str">
        <f t="shared" si="9"/>
        <v>#N/A</v>
      </c>
      <c r="T54" s="1" t="str">
        <f t="shared" si="10"/>
        <v>#N/A</v>
      </c>
      <c r="U54" s="1" t="str">
        <f t="shared" si="11"/>
        <v>#N/A</v>
      </c>
      <c r="V54" s="1" t="str">
        <f t="shared" si="12"/>
        <v>#N/A</v>
      </c>
      <c r="W54" s="1" t="str">
        <f t="shared" si="13"/>
        <v>#N/A</v>
      </c>
      <c r="X54" s="1" t="str">
        <f t="shared" si="14"/>
        <v>#N/A</v>
      </c>
    </row>
    <row r="55">
      <c r="A55" s="1" t="str">
        <f>TRIM(CLEAN(PROPER(peakflow_q1_2025_dirty!A54)))</f>
        <v>D-1106</v>
      </c>
      <c r="B55" s="10">
        <f>DATEVALUE(TRIM(CLEAN(peakflow_q1_2025_dirty!B54)))</f>
        <v>45674</v>
      </c>
      <c r="C55" s="1" t="str">
        <f>TRIM(CLEAN(PROPER(peakflow_q1_2025_dirty!C54)))</f>
        <v>Vertex Inc</v>
      </c>
      <c r="D55" s="1" t="str">
        <f>TRIM(CLEAN(PROPER(peakflow_q1_2025_dirty!D54)))</f>
        <v>Enterprise Plan</v>
      </c>
      <c r="E55" s="1" t="str">
        <f>TRIM(CLEAN(PROPER(peakflow_q1_2025_dirty!E54)))</f>
        <v>Marcus Johnson</v>
      </c>
      <c r="F55" s="1" t="str">
        <f>TRIM(CLEAN(PROPER(peakflow_q1_2025_dirty!F54)))</f>
        <v>Sarah Chen</v>
      </c>
      <c r="G55" s="1" t="str">
        <f>TRIM(CLEAN(UPPER(peakflow_q1_2025_dirty!G54)))</f>
        <v>LATAM</v>
      </c>
      <c r="H55" s="1">
        <f>VALUE(TRIM((CLEAN(peakflow_q1_2025_dirty!H54))))</f>
        <v>20</v>
      </c>
      <c r="I55" s="8">
        <f>VALUE(SUBSTITUTE(peakflow_q1_2025_dirty!I54,".","," ))</f>
        <v>1180.76</v>
      </c>
      <c r="J55" s="8">
        <f t="shared" si="1"/>
        <v>23615.2</v>
      </c>
      <c r="K55" s="1" t="str">
        <f t="shared" si="2"/>
        <v>Januar</v>
      </c>
      <c r="M55" s="1" t="str">
        <f t="shared" si="3"/>
        <v>#N/A</v>
      </c>
      <c r="N55" s="1" t="str">
        <f t="shared" si="4"/>
        <v>#N/A</v>
      </c>
      <c r="O55" s="1" t="str">
        <f t="shared" si="5"/>
        <v>#N/A</v>
      </c>
      <c r="P55" s="1" t="str">
        <f t="shared" si="6"/>
        <v>#N/A</v>
      </c>
      <c r="Q55" s="1" t="str">
        <f t="shared" si="7"/>
        <v>#N/A</v>
      </c>
      <c r="R55" s="1" t="str">
        <f t="shared" si="8"/>
        <v>#N/A</v>
      </c>
      <c r="S55" s="1">
        <f t="shared" si="9"/>
        <v>20</v>
      </c>
      <c r="T55" s="8">
        <f t="shared" si="10"/>
        <v>1180.76</v>
      </c>
      <c r="U55" s="1" t="str">
        <f t="shared" si="11"/>
        <v>#N/A</v>
      </c>
      <c r="V55" s="1" t="str">
        <f t="shared" si="12"/>
        <v>#N/A</v>
      </c>
      <c r="W55" s="1" t="str">
        <f t="shared" si="13"/>
        <v>#N/A</v>
      </c>
      <c r="X55" s="1" t="str">
        <f t="shared" si="14"/>
        <v>#N/A</v>
      </c>
    </row>
    <row r="56">
      <c r="A56" s="1" t="str">
        <f>TRIM(CLEAN(PROPER(peakflow_q1_2025_dirty!A55)))</f>
        <v>D-1109</v>
      </c>
      <c r="B56" s="10">
        <f>DATEVALUE(TRIM(CLEAN(peakflow_q1_2025_dirty!B55)))</f>
        <v>45674</v>
      </c>
      <c r="C56" s="1" t="str">
        <f>TRIM(CLEAN(PROPER(peakflow_q1_2025_dirty!C55)))</f>
        <v>Stellar Co</v>
      </c>
      <c r="D56" s="1" t="str">
        <f>TRIM(CLEAN(PROPER(peakflow_q1_2025_dirty!D55)))</f>
        <v>Pro Plan</v>
      </c>
      <c r="E56" s="1" t="str">
        <f>TRIM(CLEAN(PROPER(peakflow_q1_2025_dirty!E55)))</f>
        <v>Aisha Hassan</v>
      </c>
      <c r="F56" s="1" t="str">
        <f>TRIM(CLEAN(PROPER(peakflow_q1_2025_dirty!F55)))</f>
        <v>Sarah Chen</v>
      </c>
      <c r="G56" s="1" t="str">
        <f>TRIM(CLEAN(PROPER(peakflow_q1_2025_dirty!G55)))</f>
        <v>North America</v>
      </c>
      <c r="H56" s="1">
        <f>VALUE(TRIM((CLEAN(peakflow_q1_2025_dirty!H55))))</f>
        <v>50</v>
      </c>
      <c r="I56" s="8">
        <f>VALUE(SUBSTITUTE(peakflow_q1_2025_dirty!I55,".","," ))</f>
        <v>214.71</v>
      </c>
      <c r="J56" s="8">
        <f t="shared" si="1"/>
        <v>10735.5</v>
      </c>
      <c r="K56" s="1" t="str">
        <f t="shared" si="2"/>
        <v>Januar</v>
      </c>
      <c r="M56" s="1" t="str">
        <f t="shared" si="3"/>
        <v>#N/A</v>
      </c>
      <c r="N56" s="1" t="str">
        <f t="shared" si="4"/>
        <v>#N/A</v>
      </c>
      <c r="O56" s="1" t="str">
        <f t="shared" si="5"/>
        <v>#N/A</v>
      </c>
      <c r="P56" s="1" t="str">
        <f t="shared" si="6"/>
        <v>#N/A</v>
      </c>
      <c r="Q56" s="1" t="str">
        <f t="shared" si="7"/>
        <v>#N/A</v>
      </c>
      <c r="R56" s="1" t="str">
        <f t="shared" si="8"/>
        <v>#N/A</v>
      </c>
      <c r="S56" s="1" t="str">
        <f t="shared" si="9"/>
        <v>#N/A</v>
      </c>
      <c r="T56" s="1" t="str">
        <f t="shared" si="10"/>
        <v>#N/A</v>
      </c>
      <c r="U56" s="1">
        <f t="shared" si="11"/>
        <v>50</v>
      </c>
      <c r="V56" s="8">
        <f t="shared" si="12"/>
        <v>214.71</v>
      </c>
      <c r="W56" s="1" t="str">
        <f t="shared" si="13"/>
        <v>#N/A</v>
      </c>
      <c r="X56" s="1" t="str">
        <f t="shared" si="14"/>
        <v>#N/A</v>
      </c>
    </row>
    <row r="57">
      <c r="A57" s="1" t="str">
        <f>TRIM(CLEAN(PROPER(peakflow_q1_2025_dirty!A56)))</f>
        <v>D-1172</v>
      </c>
      <c r="B57" s="10">
        <f>DATEVALUE(TRIM(CLEAN(peakflow_q1_2025_dirty!B56)))</f>
        <v>45674</v>
      </c>
      <c r="C57" s="1" t="str">
        <f>TRIM(CLEAN(PROPER(peakflow_q1_2025_dirty!C56)))</f>
        <v>Pacific Co</v>
      </c>
      <c r="D57" s="1" t="str">
        <f>TRIM(CLEAN(PROPER(peakflow_q1_2025_dirty!D56)))</f>
        <v>Add-On: Analytics</v>
      </c>
      <c r="E57" s="1" t="str">
        <f>TRIM(CLEAN(PROPER(peakflow_q1_2025_dirty!E56)))</f>
        <v>David Kim</v>
      </c>
      <c r="F57" s="1" t="str">
        <f>TRIM(CLEAN(PROPER(peakflow_q1_2025_dirty!F56)))</f>
        <v>Sarah Chen</v>
      </c>
      <c r="G57" s="1" t="str">
        <f>TRIM(CLEAN(PROPER(peakflow_q1_2025_dirty!G56)))</f>
        <v>North America</v>
      </c>
      <c r="H57" s="1">
        <f>VALUE(TRIM((CLEAN(peakflow_q1_2025_dirty!H56))))</f>
        <v>10</v>
      </c>
      <c r="I57" s="8">
        <f>VALUE(SUBSTITUTE(peakflow_q1_2025_dirty!I56,".","," ))</f>
        <v>82.73</v>
      </c>
      <c r="J57" s="8">
        <f t="shared" si="1"/>
        <v>827.3</v>
      </c>
      <c r="K57" s="1" t="str">
        <f t="shared" si="2"/>
        <v>Januar</v>
      </c>
      <c r="M57" s="1">
        <f t="shared" si="3"/>
        <v>10</v>
      </c>
      <c r="N57" s="8">
        <f t="shared" si="4"/>
        <v>82.73</v>
      </c>
      <c r="O57" s="1" t="str">
        <f t="shared" si="5"/>
        <v>#N/A</v>
      </c>
      <c r="P57" s="1" t="str">
        <f t="shared" si="6"/>
        <v>#N/A</v>
      </c>
      <c r="Q57" s="1" t="str">
        <f t="shared" si="7"/>
        <v>#N/A</v>
      </c>
      <c r="R57" s="1" t="str">
        <f t="shared" si="8"/>
        <v>#N/A</v>
      </c>
      <c r="S57" s="1" t="str">
        <f t="shared" si="9"/>
        <v>#N/A</v>
      </c>
      <c r="T57" s="1" t="str">
        <f t="shared" si="10"/>
        <v>#N/A</v>
      </c>
      <c r="U57" s="1" t="str">
        <f t="shared" si="11"/>
        <v>#N/A</v>
      </c>
      <c r="V57" s="1" t="str">
        <f t="shared" si="12"/>
        <v>#N/A</v>
      </c>
      <c r="W57" s="1" t="str">
        <f t="shared" si="13"/>
        <v>#N/A</v>
      </c>
      <c r="X57" s="1" t="str">
        <f t="shared" si="14"/>
        <v>#N/A</v>
      </c>
    </row>
    <row r="58">
      <c r="A58" s="1" t="str">
        <f>TRIM(CLEAN(PROPER(peakflow_q1_2025_dirty!A57)))</f>
        <v>D-1037</v>
      </c>
      <c r="B58" s="10">
        <f>DATEVALUE(TRIM(CLEAN(peakflow_q1_2025_dirty!B57)))</f>
        <v>45675</v>
      </c>
      <c r="C58" s="1" t="str">
        <f>TRIM(CLEAN(PROPER(peakflow_q1_2025_dirty!C57)))</f>
        <v>Quill Labs</v>
      </c>
      <c r="D58" s="1" t="str">
        <f>TRIM(CLEAN(PROPER(peakflow_q1_2025_dirty!D57)))</f>
        <v>Business Plan</v>
      </c>
      <c r="E58" s="1" t="str">
        <f>TRIM(CLEAN(PROPER(peakflow_q1_2025_dirty!E57)))</f>
        <v>Elena Rossi</v>
      </c>
      <c r="F58" s="1" t="str">
        <f>TRIM(CLEAN(PROPER(peakflow_q1_2025_dirty!F57)))</f>
        <v>Lukas Becker</v>
      </c>
      <c r="G58" s="1" t="str">
        <f>TRIM(CLEAN(UPPER(peakflow_q1_2025_dirty!G57)))</f>
        <v>APAC</v>
      </c>
      <c r="H58" s="1">
        <f>VALUE(TRIM((CLEAN(peakflow_q1_2025_dirty!H57))))</f>
        <v>1</v>
      </c>
      <c r="I58" s="8">
        <f>VALUE(SUBSTITUTE(peakflow_q1_2025_dirty!I57,".","," ))</f>
        <v>389.23</v>
      </c>
      <c r="J58" s="8">
        <f t="shared" si="1"/>
        <v>389.23</v>
      </c>
      <c r="K58" s="1" t="str">
        <f t="shared" si="2"/>
        <v>Januar</v>
      </c>
      <c r="M58" s="1" t="str">
        <f t="shared" si="3"/>
        <v>#N/A</v>
      </c>
      <c r="N58" s="1" t="str">
        <f t="shared" si="4"/>
        <v>#N/A</v>
      </c>
      <c r="O58" s="1" t="str">
        <f t="shared" si="5"/>
        <v>#N/A</v>
      </c>
      <c r="P58" s="1" t="str">
        <f t="shared" si="6"/>
        <v>#N/A</v>
      </c>
      <c r="Q58" s="1">
        <f t="shared" si="7"/>
        <v>1</v>
      </c>
      <c r="R58" s="8">
        <f t="shared" si="8"/>
        <v>389.23</v>
      </c>
      <c r="S58" s="1" t="str">
        <f t="shared" si="9"/>
        <v>#N/A</v>
      </c>
      <c r="T58" s="1" t="str">
        <f t="shared" si="10"/>
        <v>#N/A</v>
      </c>
      <c r="U58" s="1" t="str">
        <f t="shared" si="11"/>
        <v>#N/A</v>
      </c>
      <c r="V58" s="1" t="str">
        <f t="shared" si="12"/>
        <v>#N/A</v>
      </c>
      <c r="W58" s="1" t="str">
        <f t="shared" si="13"/>
        <v>#N/A</v>
      </c>
      <c r="X58" s="1" t="str">
        <f t="shared" si="14"/>
        <v>#N/A</v>
      </c>
    </row>
    <row r="59">
      <c r="A59" s="1" t="str">
        <f>TRIM(CLEAN(PROPER(peakflow_q1_2025_dirty!A58)))</f>
        <v>D-1148</v>
      </c>
      <c r="B59" s="10">
        <f>DATEVALUE(TRIM(CLEAN(peakflow_q1_2025_dirty!B58)))</f>
        <v>45675</v>
      </c>
      <c r="C59" s="1" t="str">
        <f>TRIM(CLEAN(PROPER(peakflow_q1_2025_dirty!C58)))</f>
        <v>Catalyst Inc</v>
      </c>
      <c r="D59" s="1" t="str">
        <f>TRIM(CLEAN(PROPER(peakflow_q1_2025_dirty!D58)))</f>
        <v>Business Plan</v>
      </c>
      <c r="E59" s="1" t="str">
        <f>TRIM(CLEAN(PROPER(peakflow_q1_2025_dirty!E58)))</f>
        <v>Aisha Hassan</v>
      </c>
      <c r="F59" s="1" t="str">
        <f>TRIM(CLEAN(PROPER(peakflow_q1_2025_dirty!F58)))</f>
        <v>Sarah Chen</v>
      </c>
      <c r="G59" s="1" t="str">
        <f>TRIM(CLEAN(PROPER(peakflow_q1_2025_dirty!G58)))</f>
        <v>North America</v>
      </c>
      <c r="H59" s="1">
        <f>VALUE(TRIM((CLEAN(peakflow_q1_2025_dirty!H58))))</f>
        <v>1</v>
      </c>
      <c r="I59" s="8">
        <f>VALUE(SUBSTITUTE(peakflow_q1_2025_dirty!I58,".","," ))</f>
        <v>407.67</v>
      </c>
      <c r="J59" s="8">
        <f t="shared" si="1"/>
        <v>407.67</v>
      </c>
      <c r="K59" s="1" t="str">
        <f t="shared" si="2"/>
        <v>Januar</v>
      </c>
      <c r="M59" s="1" t="str">
        <f t="shared" si="3"/>
        <v>#N/A</v>
      </c>
      <c r="N59" s="1" t="str">
        <f t="shared" si="4"/>
        <v>#N/A</v>
      </c>
      <c r="O59" s="1" t="str">
        <f t="shared" si="5"/>
        <v>#N/A</v>
      </c>
      <c r="P59" s="1" t="str">
        <f t="shared" si="6"/>
        <v>#N/A</v>
      </c>
      <c r="Q59" s="1">
        <f t="shared" si="7"/>
        <v>1</v>
      </c>
      <c r="R59" s="8">
        <f t="shared" si="8"/>
        <v>407.67</v>
      </c>
      <c r="S59" s="1" t="str">
        <f t="shared" si="9"/>
        <v>#N/A</v>
      </c>
      <c r="T59" s="1" t="str">
        <f t="shared" si="10"/>
        <v>#N/A</v>
      </c>
      <c r="U59" s="1" t="str">
        <f t="shared" si="11"/>
        <v>#N/A</v>
      </c>
      <c r="V59" s="1" t="str">
        <f t="shared" si="12"/>
        <v>#N/A</v>
      </c>
      <c r="W59" s="1" t="str">
        <f t="shared" si="13"/>
        <v>#N/A</v>
      </c>
      <c r="X59" s="1" t="str">
        <f t="shared" si="14"/>
        <v>#N/A</v>
      </c>
    </row>
    <row r="60">
      <c r="A60" s="1" t="str">
        <f>TRIM(CLEAN(PROPER(peakflow_q1_2025_dirty!A59)))</f>
        <v>D-1244</v>
      </c>
      <c r="B60" s="10">
        <f>DATEVALUE(TRIM(CLEAN(peakflow_q1_2025_dirty!B59)))</f>
        <v>45675</v>
      </c>
      <c r="C60" s="1" t="str">
        <f>TRIM(CLEAN(PROPER(peakflow_q1_2025_dirty!C59)))</f>
        <v>Cascade Group</v>
      </c>
      <c r="D60" s="1" t="str">
        <f>TRIM(CLEAN(PROPER(peakflow_q1_2025_dirty!D59)))</f>
        <v>Pro Plan</v>
      </c>
      <c r="E60" s="1" t="str">
        <f>TRIM(CLEAN(PROPER(peakflow_q1_2025_dirty!E59)))</f>
        <v>James Park</v>
      </c>
      <c r="F60" s="1" t="str">
        <f>TRIM(CLEAN(PROPER(peakflow_q1_2025_dirty!F59)))</f>
        <v>Owen Walsh</v>
      </c>
      <c r="G60" s="1" t="str">
        <f>TRIM(CLEAN(PROPER(peakflow_q1_2025_dirty!G59)))</f>
        <v>North America</v>
      </c>
      <c r="H60" s="1">
        <f>VALUE(TRIM((CLEAN(peakflow_q1_2025_dirty!H59))))</f>
        <v>1</v>
      </c>
      <c r="I60" s="8">
        <f>VALUE(SUBSTITUTE(peakflow_q1_2025_dirty!I59,".","," ))</f>
        <v>295.34</v>
      </c>
      <c r="J60" s="8">
        <f t="shared" si="1"/>
        <v>295.34</v>
      </c>
      <c r="K60" s="1" t="str">
        <f t="shared" si="2"/>
        <v>Januar</v>
      </c>
      <c r="M60" s="1" t="str">
        <f t="shared" si="3"/>
        <v>#N/A</v>
      </c>
      <c r="N60" s="1" t="str">
        <f t="shared" si="4"/>
        <v>#N/A</v>
      </c>
      <c r="O60" s="1" t="str">
        <f t="shared" si="5"/>
        <v>#N/A</v>
      </c>
      <c r="P60" s="1" t="str">
        <f t="shared" si="6"/>
        <v>#N/A</v>
      </c>
      <c r="Q60" s="1" t="str">
        <f t="shared" si="7"/>
        <v>#N/A</v>
      </c>
      <c r="R60" s="1" t="str">
        <f t="shared" si="8"/>
        <v>#N/A</v>
      </c>
      <c r="S60" s="1" t="str">
        <f t="shared" si="9"/>
        <v>#N/A</v>
      </c>
      <c r="T60" s="1" t="str">
        <f t="shared" si="10"/>
        <v>#N/A</v>
      </c>
      <c r="U60" s="1">
        <f t="shared" si="11"/>
        <v>1</v>
      </c>
      <c r="V60" s="8">
        <f t="shared" si="12"/>
        <v>295.34</v>
      </c>
      <c r="W60" s="1" t="str">
        <f t="shared" si="13"/>
        <v>#N/A</v>
      </c>
      <c r="X60" s="1" t="str">
        <f t="shared" si="14"/>
        <v>#N/A</v>
      </c>
    </row>
    <row r="61">
      <c r="A61" s="1" t="str">
        <f>TRIM(CLEAN(PROPER(peakflow_q1_2025_dirty!A60)))</f>
        <v>D-1182</v>
      </c>
      <c r="B61" s="10">
        <f>DATEVALUE(TRIM(CLEAN(peakflow_q1_2025_dirty!B60)))</f>
        <v>45676</v>
      </c>
      <c r="C61" s="1" t="str">
        <f>TRIM(CLEAN(PROPER(peakflow_q1_2025_dirty!C60)))</f>
        <v>Vertex Inc</v>
      </c>
      <c r="D61" s="1" t="str">
        <f>TRIM(CLEAN(PROPER(peakflow_q1_2025_dirty!D60)))</f>
        <v>Starter Plan</v>
      </c>
      <c r="E61" s="1" t="str">
        <f>TRIM(CLEAN(PROPER(peakflow_q1_2025_dirty!E60)))</f>
        <v>Hannah Lee</v>
      </c>
      <c r="F61" s="1" t="str">
        <f>TRIM(CLEAN(PROPER(peakflow_q1_2025_dirty!F60)))</f>
        <v>Owen Walsh</v>
      </c>
      <c r="G61" s="1" t="str">
        <f>TRIM(CLEAN(PROPER(peakflow_q1_2025_dirty!G60)))</f>
        <v>North America</v>
      </c>
      <c r="H61" s="1">
        <f>VALUE(TRIM((CLEAN(peakflow_q1_2025_dirty!H60))))</f>
        <v>10</v>
      </c>
      <c r="I61" s="8">
        <f>VALUE(SUBSTITUTE(peakflow_q1_2025_dirty!I60,".","," ))</f>
        <v>71.39</v>
      </c>
      <c r="J61" s="8">
        <f t="shared" si="1"/>
        <v>713.9</v>
      </c>
      <c r="K61" s="1" t="str">
        <f t="shared" si="2"/>
        <v>Januar</v>
      </c>
      <c r="M61" s="1" t="str">
        <f t="shared" si="3"/>
        <v>#N/A</v>
      </c>
      <c r="N61" s="1" t="str">
        <f t="shared" si="4"/>
        <v>#N/A</v>
      </c>
      <c r="O61" s="1" t="str">
        <f t="shared" si="5"/>
        <v>#N/A</v>
      </c>
      <c r="P61" s="1" t="str">
        <f t="shared" si="6"/>
        <v>#N/A</v>
      </c>
      <c r="Q61" s="1" t="str">
        <f t="shared" si="7"/>
        <v>#N/A</v>
      </c>
      <c r="R61" s="1" t="str">
        <f t="shared" si="8"/>
        <v>#N/A</v>
      </c>
      <c r="S61" s="1" t="str">
        <f t="shared" si="9"/>
        <v>#N/A</v>
      </c>
      <c r="T61" s="1" t="str">
        <f t="shared" si="10"/>
        <v>#N/A</v>
      </c>
      <c r="U61" s="1" t="str">
        <f t="shared" si="11"/>
        <v>#N/A</v>
      </c>
      <c r="V61" s="1" t="str">
        <f t="shared" si="12"/>
        <v>#N/A</v>
      </c>
      <c r="W61" s="1">
        <f t="shared" si="13"/>
        <v>10</v>
      </c>
      <c r="X61" s="8">
        <f t="shared" si="14"/>
        <v>71.39</v>
      </c>
    </row>
    <row r="62">
      <c r="A62" s="1" t="str">
        <f>TRIM(CLEAN(PROPER(peakflow_q1_2025_dirty!A61)))</f>
        <v>D-1012</v>
      </c>
      <c r="B62" s="10">
        <f>DATEVALUE(TRIM(CLEAN(peakflow_q1_2025_dirty!B61)))</f>
        <v>45677</v>
      </c>
      <c r="C62" s="1" t="str">
        <f>TRIM(CLEAN(PROPER(peakflow_q1_2025_dirty!C61)))</f>
        <v>Lumen Labs</v>
      </c>
      <c r="D62" s="1" t="str">
        <f>TRIM(CLEAN(PROPER(peakflow_q1_2025_dirty!D61)))</f>
        <v>Add-On: Analytics</v>
      </c>
      <c r="E62" s="1" t="str">
        <f>TRIM(CLEAN(PROPER(peakflow_q1_2025_dirty!E61)))</f>
        <v>Priya Patel</v>
      </c>
      <c r="F62" s="1" t="str">
        <f>TRIM(CLEAN(PROPER(peakflow_q1_2025_dirty!F61)))</f>
        <v>Maya Rodriguez</v>
      </c>
      <c r="G62" s="1" t="str">
        <f>TRIM(CLEAN(UPPER(peakflow_q1_2025_dirty!G61)))</f>
        <v>LATAM</v>
      </c>
      <c r="H62" s="1">
        <f>VALUE(TRIM((CLEAN(peakflow_q1_2025_dirty!H61))))</f>
        <v>5</v>
      </c>
      <c r="I62" s="8">
        <f>VALUE(SUBSTITUTE(peakflow_q1_2025_dirty!I61,".","," ))</f>
        <v>103.1</v>
      </c>
      <c r="J62" s="8">
        <f t="shared" si="1"/>
        <v>515.5</v>
      </c>
      <c r="K62" s="1" t="str">
        <f t="shared" si="2"/>
        <v>Januar</v>
      </c>
      <c r="M62" s="1">
        <f t="shared" si="3"/>
        <v>5</v>
      </c>
      <c r="N62" s="8">
        <f t="shared" si="4"/>
        <v>103.1</v>
      </c>
      <c r="O62" s="1" t="str">
        <f t="shared" si="5"/>
        <v>#N/A</v>
      </c>
      <c r="P62" s="1" t="str">
        <f t="shared" si="6"/>
        <v>#N/A</v>
      </c>
      <c r="Q62" s="1" t="str">
        <f t="shared" si="7"/>
        <v>#N/A</v>
      </c>
      <c r="R62" s="1" t="str">
        <f t="shared" si="8"/>
        <v>#N/A</v>
      </c>
      <c r="S62" s="1" t="str">
        <f t="shared" si="9"/>
        <v>#N/A</v>
      </c>
      <c r="T62" s="1" t="str">
        <f t="shared" si="10"/>
        <v>#N/A</v>
      </c>
      <c r="U62" s="1" t="str">
        <f t="shared" si="11"/>
        <v>#N/A</v>
      </c>
      <c r="V62" s="1" t="str">
        <f t="shared" si="12"/>
        <v>#N/A</v>
      </c>
      <c r="W62" s="1" t="str">
        <f t="shared" si="13"/>
        <v>#N/A</v>
      </c>
      <c r="X62" s="1" t="str">
        <f t="shared" si="14"/>
        <v>#N/A</v>
      </c>
    </row>
    <row r="63">
      <c r="A63" s="1" t="str">
        <f>TRIM(CLEAN(PROPER(peakflow_q1_2025_dirty!A62)))</f>
        <v>D-1067</v>
      </c>
      <c r="B63" s="10">
        <f>DATEVALUE(TRIM(CLEAN(peakflow_q1_2025_dirty!B62)))</f>
        <v>45677</v>
      </c>
      <c r="C63" s="1" t="str">
        <f>TRIM(CLEAN(PROPER(peakflow_q1_2025_dirty!C62)))</f>
        <v>Onyx Group</v>
      </c>
      <c r="D63" s="1" t="str">
        <f>TRIM(CLEAN(PROPER(peakflow_q1_2025_dirty!D62)))</f>
        <v>Starter Plan</v>
      </c>
      <c r="E63" s="1" t="str">
        <f>TRIM(CLEAN(PROPER(peakflow_q1_2025_dirty!E62)))</f>
        <v>Raj Sharma</v>
      </c>
      <c r="F63" s="1" t="str">
        <f>TRIM(CLEAN(PROPER(peakflow_q1_2025_dirty!F62)))</f>
        <v>Owen Walsh</v>
      </c>
      <c r="G63" s="1" t="str">
        <f>TRIM(CLEAN(UPPER(peakflow_q1_2025_dirty!G62)))</f>
        <v>LATAM</v>
      </c>
      <c r="H63" s="1">
        <f>VALUE(TRIM((CLEAN(peakflow_q1_2025_dirty!H62))))</f>
        <v>20</v>
      </c>
      <c r="I63" s="8">
        <f>VALUE(SUBSTITUTE(peakflow_q1_2025_dirty!I62,".","," ))</f>
        <v>49.8</v>
      </c>
      <c r="J63" s="8">
        <f t="shared" si="1"/>
        <v>996</v>
      </c>
      <c r="K63" s="1" t="str">
        <f t="shared" si="2"/>
        <v>Januar</v>
      </c>
      <c r="M63" s="1" t="str">
        <f t="shared" si="3"/>
        <v>#N/A</v>
      </c>
      <c r="N63" s="1" t="str">
        <f t="shared" si="4"/>
        <v>#N/A</v>
      </c>
      <c r="O63" s="1" t="str">
        <f t="shared" si="5"/>
        <v>#N/A</v>
      </c>
      <c r="P63" s="1" t="str">
        <f t="shared" si="6"/>
        <v>#N/A</v>
      </c>
      <c r="Q63" s="1" t="str">
        <f t="shared" si="7"/>
        <v>#N/A</v>
      </c>
      <c r="R63" s="1" t="str">
        <f t="shared" si="8"/>
        <v>#N/A</v>
      </c>
      <c r="S63" s="1" t="str">
        <f t="shared" si="9"/>
        <v>#N/A</v>
      </c>
      <c r="T63" s="1" t="str">
        <f t="shared" si="10"/>
        <v>#N/A</v>
      </c>
      <c r="U63" s="1" t="str">
        <f t="shared" si="11"/>
        <v>#N/A</v>
      </c>
      <c r="V63" s="1" t="str">
        <f t="shared" si="12"/>
        <v>#N/A</v>
      </c>
      <c r="W63" s="1">
        <f t="shared" si="13"/>
        <v>20</v>
      </c>
      <c r="X63" s="8">
        <f t="shared" si="14"/>
        <v>49.8</v>
      </c>
    </row>
    <row r="64">
      <c r="A64" s="1" t="str">
        <f>TRIM(CLEAN(PROPER(peakflow_q1_2025_dirty!A63)))</f>
        <v>D-1085</v>
      </c>
      <c r="B64" s="10">
        <f>DATEVALUE(TRIM(CLEAN(peakflow_q1_2025_dirty!B63)))</f>
        <v>45677</v>
      </c>
      <c r="C64" s="1" t="str">
        <f>TRIM(CLEAN(PROPER(peakflow_q1_2025_dirty!C63)))</f>
        <v>Solstice Group</v>
      </c>
      <c r="D64" s="1" t="str">
        <f>TRIM(CLEAN(PROPER(peakflow_q1_2025_dirty!D63)))</f>
        <v>Starter Plan</v>
      </c>
      <c r="E64" s="1" t="str">
        <f>TRIM(CLEAN(PROPER(peakflow_q1_2025_dirty!E63)))</f>
        <v>David Kim</v>
      </c>
      <c r="F64" s="1" t="str">
        <f>TRIM(CLEAN(PROPER(peakflow_q1_2025_dirty!F63)))</f>
        <v>Sarah Chen</v>
      </c>
      <c r="G64" s="1" t="str">
        <f>TRIM(CLEAN(UPPER(peakflow_q1_2025_dirty!G63)))</f>
        <v>LATAM</v>
      </c>
      <c r="H64" s="1">
        <f>VALUE(TRIM((CLEAN(peakflow_q1_2025_dirty!H63))))</f>
        <v>5</v>
      </c>
      <c r="I64" s="8">
        <f>VALUE(SUBSTITUTE(peakflow_q1_2025_dirty!I63,".","," ))</f>
        <v>58.38</v>
      </c>
      <c r="J64" s="8">
        <f t="shared" si="1"/>
        <v>291.9</v>
      </c>
      <c r="K64" s="1" t="str">
        <f t="shared" si="2"/>
        <v>Januar</v>
      </c>
      <c r="M64" s="1" t="str">
        <f t="shared" si="3"/>
        <v>#N/A</v>
      </c>
      <c r="N64" s="1" t="str">
        <f t="shared" si="4"/>
        <v>#N/A</v>
      </c>
      <c r="O64" s="1" t="str">
        <f t="shared" si="5"/>
        <v>#N/A</v>
      </c>
      <c r="P64" s="1" t="str">
        <f t="shared" si="6"/>
        <v>#N/A</v>
      </c>
      <c r="Q64" s="1" t="str">
        <f t="shared" si="7"/>
        <v>#N/A</v>
      </c>
      <c r="R64" s="1" t="str">
        <f t="shared" si="8"/>
        <v>#N/A</v>
      </c>
      <c r="S64" s="1" t="str">
        <f t="shared" si="9"/>
        <v>#N/A</v>
      </c>
      <c r="T64" s="1" t="str">
        <f t="shared" si="10"/>
        <v>#N/A</v>
      </c>
      <c r="U64" s="1" t="str">
        <f t="shared" si="11"/>
        <v>#N/A</v>
      </c>
      <c r="V64" s="1" t="str">
        <f t="shared" si="12"/>
        <v>#N/A</v>
      </c>
      <c r="W64" s="1">
        <f t="shared" si="13"/>
        <v>5</v>
      </c>
      <c r="X64" s="8">
        <f t="shared" si="14"/>
        <v>58.38</v>
      </c>
    </row>
    <row r="65">
      <c r="A65" s="1" t="str">
        <f>TRIM(CLEAN(PROPER(peakflow_q1_2025_dirty!A64)))</f>
        <v>D-1167</v>
      </c>
      <c r="B65" s="10">
        <f>DATEVALUE(TRIM(CLEAN(peakflow_q1_2025_dirty!B64)))</f>
        <v>45677</v>
      </c>
      <c r="C65" s="1" t="str">
        <f>TRIM(CLEAN(PROPER(peakflow_q1_2025_dirty!C64)))</f>
        <v>Lattice Co</v>
      </c>
      <c r="D65" s="1" t="str">
        <f>TRIM(CLEAN(PROPER(peakflow_q1_2025_dirty!D64)))</f>
        <v>Business Plan</v>
      </c>
      <c r="E65" s="1" t="str">
        <f>TRIM(CLEAN(PROPER(peakflow_q1_2025_dirty!E64)))</f>
        <v>Marcus Johnson</v>
      </c>
      <c r="F65" s="1" t="str">
        <f>TRIM(CLEAN(PROPER(peakflow_q1_2025_dirty!F64)))</f>
        <v>Sarah Chen</v>
      </c>
      <c r="G65" s="1" t="str">
        <f>TRIM(CLEAN(PROPER(peakflow_q1_2025_dirty!G64)))</f>
        <v>North America</v>
      </c>
      <c r="H65" s="1">
        <f>VALUE(TRIM((CLEAN(peakflow_q1_2025_dirty!H64))))</f>
        <v>5</v>
      </c>
      <c r="I65" s="8">
        <f>VALUE(SUBSTITUTE(peakflow_q1_2025_dirty!I64,".","," ))</f>
        <v>404.19</v>
      </c>
      <c r="J65" s="8">
        <f t="shared" si="1"/>
        <v>2020.95</v>
      </c>
      <c r="K65" s="1" t="str">
        <f t="shared" si="2"/>
        <v>Januar</v>
      </c>
      <c r="M65" s="1" t="str">
        <f t="shared" si="3"/>
        <v>#N/A</v>
      </c>
      <c r="N65" s="1" t="str">
        <f t="shared" si="4"/>
        <v>#N/A</v>
      </c>
      <c r="O65" s="1" t="str">
        <f t="shared" si="5"/>
        <v>#N/A</v>
      </c>
      <c r="P65" s="1" t="str">
        <f t="shared" si="6"/>
        <v>#N/A</v>
      </c>
      <c r="Q65" s="1">
        <f t="shared" si="7"/>
        <v>5</v>
      </c>
      <c r="R65" s="8">
        <f t="shared" si="8"/>
        <v>404.19</v>
      </c>
      <c r="S65" s="1" t="str">
        <f t="shared" si="9"/>
        <v>#N/A</v>
      </c>
      <c r="T65" s="1" t="str">
        <f t="shared" si="10"/>
        <v>#N/A</v>
      </c>
      <c r="U65" s="1" t="str">
        <f t="shared" si="11"/>
        <v>#N/A</v>
      </c>
      <c r="V65" s="1" t="str">
        <f t="shared" si="12"/>
        <v>#N/A</v>
      </c>
      <c r="W65" s="1" t="str">
        <f t="shared" si="13"/>
        <v>#N/A</v>
      </c>
      <c r="X65" s="1" t="str">
        <f t="shared" si="14"/>
        <v>#N/A</v>
      </c>
    </row>
    <row r="66">
      <c r="A66" s="1" t="str">
        <f>TRIM(CLEAN(PROPER(peakflow_q1_2025_dirty!A65)))</f>
        <v>D-1197</v>
      </c>
      <c r="B66" s="10">
        <f>DATEVALUE(TRIM(CLEAN(peakflow_q1_2025_dirty!B65)))</f>
        <v>45677</v>
      </c>
      <c r="C66" s="1" t="str">
        <f>TRIM(CLEAN(PROPER(peakflow_q1_2025_dirty!C65)))</f>
        <v>Rivet Co</v>
      </c>
      <c r="D66" s="1" t="str">
        <f>TRIM(CLEAN(PROPER(peakflow_q1_2025_dirty!D65)))</f>
        <v>Starter Plan</v>
      </c>
      <c r="E66" s="1" t="str">
        <f>TRIM(CLEAN(PROPER(peakflow_q1_2025_dirty!E65)))</f>
        <v>Tom Wilson</v>
      </c>
      <c r="F66" s="1" t="str">
        <f>TRIM(CLEAN(PROPER(peakflow_q1_2025_dirty!F65)))</f>
        <v>Lukas Becker</v>
      </c>
      <c r="G66" s="1" t="str">
        <f>TRIM(CLEAN(UPPER(peakflow_q1_2025_dirty!G65)))</f>
        <v>LATAM</v>
      </c>
      <c r="H66" s="1">
        <f>VALUE(TRIM((CLEAN(peakflow_q1_2025_dirty!H65))))</f>
        <v>20</v>
      </c>
      <c r="I66" s="8">
        <f>VALUE(SUBSTITUTE(peakflow_q1_2025_dirty!I65,".","," ))</f>
        <v>59.94</v>
      </c>
      <c r="J66" s="8">
        <f t="shared" si="1"/>
        <v>1198.8</v>
      </c>
      <c r="K66" s="1" t="str">
        <f t="shared" si="2"/>
        <v>Januar</v>
      </c>
      <c r="M66" s="1" t="str">
        <f t="shared" si="3"/>
        <v>#N/A</v>
      </c>
      <c r="N66" s="1" t="str">
        <f t="shared" si="4"/>
        <v>#N/A</v>
      </c>
      <c r="O66" s="1" t="str">
        <f t="shared" si="5"/>
        <v>#N/A</v>
      </c>
      <c r="P66" s="1" t="str">
        <f t="shared" si="6"/>
        <v>#N/A</v>
      </c>
      <c r="Q66" s="1" t="str">
        <f t="shared" si="7"/>
        <v>#N/A</v>
      </c>
      <c r="R66" s="1" t="str">
        <f t="shared" si="8"/>
        <v>#N/A</v>
      </c>
      <c r="S66" s="1" t="str">
        <f t="shared" si="9"/>
        <v>#N/A</v>
      </c>
      <c r="T66" s="1" t="str">
        <f t="shared" si="10"/>
        <v>#N/A</v>
      </c>
      <c r="U66" s="1" t="str">
        <f t="shared" si="11"/>
        <v>#N/A</v>
      </c>
      <c r="V66" s="1" t="str">
        <f t="shared" si="12"/>
        <v>#N/A</v>
      </c>
      <c r="W66" s="1">
        <f t="shared" si="13"/>
        <v>20</v>
      </c>
      <c r="X66" s="8">
        <f t="shared" si="14"/>
        <v>59.94</v>
      </c>
    </row>
    <row r="67">
      <c r="A67" s="1" t="str">
        <f>TRIM(CLEAN(PROPER(peakflow_q1_2025_dirty!A66)))</f>
        <v>D-1007</v>
      </c>
      <c r="B67" s="10">
        <f>DATEVALUE(TRIM(CLEAN(peakflow_q1_2025_dirty!B66)))</f>
        <v>45678</v>
      </c>
      <c r="C67" s="1" t="str">
        <f>TRIM(CLEAN(PROPER(peakflow_q1_2025_dirty!C66)))</f>
        <v>Borealis Co</v>
      </c>
      <c r="D67" s="1" t="str">
        <f>TRIM(CLEAN(PROPER(peakflow_q1_2025_dirty!D66)))</f>
        <v>Add-On: Support</v>
      </c>
      <c r="E67" s="1" t="str">
        <f>TRIM(CLEAN(PROPER(peakflow_q1_2025_dirty!E66)))</f>
        <v>Nina Petrov</v>
      </c>
      <c r="F67" s="1" t="str">
        <f>TRIM(CLEAN(PROPER(peakflow_q1_2025_dirty!F66)))</f>
        <v>Lukas Becker</v>
      </c>
      <c r="G67" s="1" t="str">
        <f>TRIM(CLEAN(UPPER(peakflow_q1_2025_dirty!G66)))</f>
        <v>LATAM</v>
      </c>
      <c r="H67" s="1">
        <f>VALUE(TRIM((CLEAN(peakflow_q1_2025_dirty!H66))))</f>
        <v>1</v>
      </c>
      <c r="I67" s="8">
        <f>VALUE(SUBSTITUTE(peakflow_q1_2025_dirty!I66,".","," ))</f>
        <v>146.67</v>
      </c>
      <c r="J67" s="8">
        <f t="shared" si="1"/>
        <v>146.67</v>
      </c>
      <c r="K67" s="1" t="str">
        <f t="shared" si="2"/>
        <v>Januar</v>
      </c>
      <c r="M67" s="1" t="str">
        <f t="shared" si="3"/>
        <v>#N/A</v>
      </c>
      <c r="N67" s="1" t="str">
        <f t="shared" si="4"/>
        <v>#N/A</v>
      </c>
      <c r="O67" s="1">
        <f t="shared" si="5"/>
        <v>1</v>
      </c>
      <c r="P67" s="8">
        <f t="shared" si="6"/>
        <v>146.67</v>
      </c>
      <c r="Q67" s="1" t="str">
        <f t="shared" si="7"/>
        <v>#N/A</v>
      </c>
      <c r="R67" s="1" t="str">
        <f t="shared" si="8"/>
        <v>#N/A</v>
      </c>
      <c r="S67" s="1" t="str">
        <f t="shared" si="9"/>
        <v>#N/A</v>
      </c>
      <c r="T67" s="1" t="str">
        <f t="shared" si="10"/>
        <v>#N/A</v>
      </c>
      <c r="U67" s="1" t="str">
        <f t="shared" si="11"/>
        <v>#N/A</v>
      </c>
      <c r="V67" s="1" t="str">
        <f t="shared" si="12"/>
        <v>#N/A</v>
      </c>
      <c r="W67" s="1" t="str">
        <f t="shared" si="13"/>
        <v>#N/A</v>
      </c>
      <c r="X67" s="1" t="str">
        <f t="shared" si="14"/>
        <v>#N/A</v>
      </c>
    </row>
    <row r="68">
      <c r="A68" s="1" t="str">
        <f>TRIM(CLEAN(PROPER(peakflow_q1_2025_dirty!A67)))</f>
        <v>D-1048</v>
      </c>
      <c r="B68" s="10">
        <f>DATEVALUE(TRIM(CLEAN(peakflow_q1_2025_dirty!B67)))</f>
        <v>45678</v>
      </c>
      <c r="C68" s="1" t="str">
        <f>TRIM(CLEAN(PROPER(peakflow_q1_2025_dirty!C67)))</f>
        <v>Orbit Co</v>
      </c>
      <c r="D68" s="1" t="str">
        <f>TRIM(CLEAN(PROPER(peakflow_q1_2025_dirty!D67)))</f>
        <v>Pro Plan</v>
      </c>
      <c r="E68" s="1" t="str">
        <f>TRIM(CLEAN(PROPER(peakflow_q1_2025_dirty!E67)))</f>
        <v>Priya Patel</v>
      </c>
      <c r="F68" s="1" t="str">
        <f>TRIM(CLEAN(PROPER(peakflow_q1_2025_dirty!F67)))</f>
        <v>Maya Rodriguez</v>
      </c>
      <c r="G68" s="1" t="str">
        <f>TRIM(CLEAN(UPPER(peakflow_q1_2025_dirty!G67)))</f>
        <v>APAC</v>
      </c>
      <c r="H68" s="1">
        <f>VALUE(TRIM((CLEAN(peakflow_q1_2025_dirty!H67))))</f>
        <v>2</v>
      </c>
      <c r="I68" s="8">
        <f>VALUE(SUBSTITUTE(peakflow_q1_2025_dirty!I67,".","," ))</f>
        <v>153.06</v>
      </c>
      <c r="J68" s="8">
        <f t="shared" si="1"/>
        <v>306.12</v>
      </c>
      <c r="K68" s="1" t="str">
        <f t="shared" si="2"/>
        <v>Januar</v>
      </c>
      <c r="M68" s="1" t="str">
        <f t="shared" si="3"/>
        <v>#N/A</v>
      </c>
      <c r="N68" s="1" t="str">
        <f t="shared" si="4"/>
        <v>#N/A</v>
      </c>
      <c r="O68" s="1" t="str">
        <f t="shared" si="5"/>
        <v>#N/A</v>
      </c>
      <c r="P68" s="1" t="str">
        <f t="shared" si="6"/>
        <v>#N/A</v>
      </c>
      <c r="Q68" s="1" t="str">
        <f t="shared" si="7"/>
        <v>#N/A</v>
      </c>
      <c r="R68" s="1" t="str">
        <f t="shared" si="8"/>
        <v>#N/A</v>
      </c>
      <c r="S68" s="1" t="str">
        <f t="shared" si="9"/>
        <v>#N/A</v>
      </c>
      <c r="T68" s="1" t="str">
        <f t="shared" si="10"/>
        <v>#N/A</v>
      </c>
      <c r="U68" s="1">
        <f t="shared" si="11"/>
        <v>2</v>
      </c>
      <c r="V68" s="8">
        <f t="shared" si="12"/>
        <v>153.06</v>
      </c>
      <c r="W68" s="1" t="str">
        <f t="shared" si="13"/>
        <v>#N/A</v>
      </c>
      <c r="X68" s="1" t="str">
        <f t="shared" si="14"/>
        <v>#N/A</v>
      </c>
    </row>
    <row r="69">
      <c r="A69" s="1" t="str">
        <f>TRIM(CLEAN(PROPER(peakflow_q1_2025_dirty!A68)))</f>
        <v>D-1082</v>
      </c>
      <c r="B69" s="10">
        <f>DATEVALUE(TRIM(CLEAN(peakflow_q1_2025_dirty!B68)))</f>
        <v>45678</v>
      </c>
      <c r="C69" s="1" t="str">
        <f>TRIM(CLEAN(PROPER(peakflow_q1_2025_dirty!C68)))</f>
        <v>Meridian Group</v>
      </c>
      <c r="D69" s="1" t="str">
        <f>TRIM(CLEAN(PROPER(peakflow_q1_2025_dirty!D68)))</f>
        <v>Starter Plan</v>
      </c>
      <c r="E69" s="1" t="str">
        <f>TRIM(CLEAN(PROPER(peakflow_q1_2025_dirty!E68)))</f>
        <v>Priya Patel</v>
      </c>
      <c r="F69" s="1" t="str">
        <f>TRIM(CLEAN(PROPER(peakflow_q1_2025_dirty!F68)))</f>
        <v>Maya Rodriguez</v>
      </c>
      <c r="G69" s="1" t="str">
        <f>TRIM(CLEAN(PROPER(peakflow_q1_2025_dirty!G68)))</f>
        <v>North America</v>
      </c>
      <c r="H69" s="1">
        <f>VALUE(TRIM((CLEAN(peakflow_q1_2025_dirty!H68))))</f>
        <v>1</v>
      </c>
      <c r="I69" s="8">
        <f>VALUE(SUBSTITUTE(peakflow_q1_2025_dirty!I68,".","," ))</f>
        <v>73.95</v>
      </c>
      <c r="J69" s="8">
        <f t="shared" si="1"/>
        <v>73.95</v>
      </c>
      <c r="K69" s="1" t="str">
        <f t="shared" si="2"/>
        <v>Januar</v>
      </c>
      <c r="M69" s="1" t="str">
        <f t="shared" si="3"/>
        <v>#N/A</v>
      </c>
      <c r="N69" s="1" t="str">
        <f t="shared" si="4"/>
        <v>#N/A</v>
      </c>
      <c r="O69" s="1" t="str">
        <f t="shared" si="5"/>
        <v>#N/A</v>
      </c>
      <c r="P69" s="1" t="str">
        <f t="shared" si="6"/>
        <v>#N/A</v>
      </c>
      <c r="Q69" s="1" t="str">
        <f t="shared" si="7"/>
        <v>#N/A</v>
      </c>
      <c r="R69" s="1" t="str">
        <f t="shared" si="8"/>
        <v>#N/A</v>
      </c>
      <c r="S69" s="1" t="str">
        <f t="shared" si="9"/>
        <v>#N/A</v>
      </c>
      <c r="T69" s="1" t="str">
        <f t="shared" si="10"/>
        <v>#N/A</v>
      </c>
      <c r="U69" s="1" t="str">
        <f t="shared" si="11"/>
        <v>#N/A</v>
      </c>
      <c r="V69" s="1" t="str">
        <f t="shared" si="12"/>
        <v>#N/A</v>
      </c>
      <c r="W69" s="1">
        <f t="shared" si="13"/>
        <v>1</v>
      </c>
      <c r="X69" s="8">
        <f t="shared" si="14"/>
        <v>73.95</v>
      </c>
    </row>
    <row r="70">
      <c r="A70" s="1" t="str">
        <f>TRIM(CLEAN(PROPER(peakflow_q1_2025_dirty!A69)))</f>
        <v>D-1158</v>
      </c>
      <c r="B70" s="10">
        <f>DATEVALUE(TRIM(CLEAN(peakflow_q1_2025_dirty!B69)))</f>
        <v>45678</v>
      </c>
      <c r="C70" s="1" t="str">
        <f>TRIM(CLEAN(PROPER(peakflow_q1_2025_dirty!C69)))</f>
        <v>Foundry Group</v>
      </c>
      <c r="D70" s="1" t="str">
        <f>TRIM(CLEAN(PROPER(peakflow_q1_2025_dirty!D69)))</f>
        <v>Add-On: Analytics</v>
      </c>
      <c r="E70" s="1" t="str">
        <f>TRIM(CLEAN(PROPER(peakflow_q1_2025_dirty!E69)))</f>
        <v>Marcus Johnson</v>
      </c>
      <c r="F70" s="1" t="str">
        <f>TRIM(CLEAN(PROPER(peakflow_q1_2025_dirty!F69)))</f>
        <v>Sarah Chen</v>
      </c>
      <c r="G70" s="1" t="str">
        <f>TRIM(CLEAN(UPPER(peakflow_q1_2025_dirty!G69)))</f>
        <v>APAC</v>
      </c>
      <c r="H70" s="1">
        <f>VALUE(TRIM((CLEAN(peakflow_q1_2025_dirty!H69))))</f>
        <v>5</v>
      </c>
      <c r="I70" s="8">
        <f>VALUE(SUBSTITUTE(peakflow_q1_2025_dirty!I69,".","," ))</f>
        <v>67.43</v>
      </c>
      <c r="J70" s="8">
        <f t="shared" si="1"/>
        <v>337.15</v>
      </c>
      <c r="K70" s="1" t="str">
        <f t="shared" si="2"/>
        <v>Januar</v>
      </c>
      <c r="M70" s="1">
        <f t="shared" si="3"/>
        <v>5</v>
      </c>
      <c r="N70" s="8">
        <f t="shared" si="4"/>
        <v>67.43</v>
      </c>
      <c r="O70" s="1" t="str">
        <f t="shared" si="5"/>
        <v>#N/A</v>
      </c>
      <c r="P70" s="1" t="str">
        <f t="shared" si="6"/>
        <v>#N/A</v>
      </c>
      <c r="Q70" s="1" t="str">
        <f t="shared" si="7"/>
        <v>#N/A</v>
      </c>
      <c r="R70" s="1" t="str">
        <f t="shared" si="8"/>
        <v>#N/A</v>
      </c>
      <c r="S70" s="1" t="str">
        <f t="shared" si="9"/>
        <v>#N/A</v>
      </c>
      <c r="T70" s="1" t="str">
        <f t="shared" si="10"/>
        <v>#N/A</v>
      </c>
      <c r="U70" s="1" t="str">
        <f t="shared" si="11"/>
        <v>#N/A</v>
      </c>
      <c r="V70" s="1" t="str">
        <f t="shared" si="12"/>
        <v>#N/A</v>
      </c>
      <c r="W70" s="1" t="str">
        <f t="shared" si="13"/>
        <v>#N/A</v>
      </c>
      <c r="X70" s="1" t="str">
        <f t="shared" si="14"/>
        <v>#N/A</v>
      </c>
    </row>
    <row r="71">
      <c r="A71" s="1" t="str">
        <f>TRIM(CLEAN(PROPER(peakflow_q1_2025_dirty!A70)))</f>
        <v>D-1027</v>
      </c>
      <c r="B71" s="10">
        <f>DATEVALUE(TRIM(CLEAN(peakflow_q1_2025_dirty!B70)))</f>
        <v>45679</v>
      </c>
      <c r="C71" s="1" t="str">
        <f>TRIM(CLEAN(PROPER(peakflow_q1_2025_dirty!C70)))</f>
        <v>Kestrel Co</v>
      </c>
      <c r="D71" s="1" t="str">
        <f>TRIM(CLEAN(PROPER(peakflow_q1_2025_dirty!D70)))</f>
        <v>Starter Plan</v>
      </c>
      <c r="E71" s="1" t="str">
        <f>TRIM(CLEAN(PROPER(peakflow_q1_2025_dirty!E70)))</f>
        <v>Sophie Laurent</v>
      </c>
      <c r="F71" s="1" t="str">
        <f>TRIM(CLEAN(PROPER(peakflow_q1_2025_dirty!F70)))</f>
        <v>Maya Rodriguez</v>
      </c>
      <c r="G71" s="1" t="str">
        <f>TRIM(CLEAN(UPPER(peakflow_q1_2025_dirty!G70)))</f>
        <v>EMEA</v>
      </c>
      <c r="H71" s="1">
        <f>VALUE(TRIM((CLEAN(peakflow_q1_2025_dirty!H70))))</f>
        <v>20</v>
      </c>
      <c r="I71" s="8">
        <f>VALUE(SUBSTITUTE(peakflow_q1_2025_dirty!I70,".","," ))</f>
        <v>79.13</v>
      </c>
      <c r="J71" s="8">
        <f t="shared" si="1"/>
        <v>1582.6</v>
      </c>
      <c r="K71" s="1" t="str">
        <f t="shared" si="2"/>
        <v>Januar</v>
      </c>
      <c r="M71" s="1" t="str">
        <f t="shared" si="3"/>
        <v>#N/A</v>
      </c>
      <c r="N71" s="1" t="str">
        <f t="shared" si="4"/>
        <v>#N/A</v>
      </c>
      <c r="O71" s="1" t="str">
        <f t="shared" si="5"/>
        <v>#N/A</v>
      </c>
      <c r="P71" s="1" t="str">
        <f t="shared" si="6"/>
        <v>#N/A</v>
      </c>
      <c r="Q71" s="1" t="str">
        <f t="shared" si="7"/>
        <v>#N/A</v>
      </c>
      <c r="R71" s="1" t="str">
        <f t="shared" si="8"/>
        <v>#N/A</v>
      </c>
      <c r="S71" s="1" t="str">
        <f t="shared" si="9"/>
        <v>#N/A</v>
      </c>
      <c r="T71" s="1" t="str">
        <f t="shared" si="10"/>
        <v>#N/A</v>
      </c>
      <c r="U71" s="1" t="str">
        <f t="shared" si="11"/>
        <v>#N/A</v>
      </c>
      <c r="V71" s="1" t="str">
        <f t="shared" si="12"/>
        <v>#N/A</v>
      </c>
      <c r="W71" s="1">
        <f t="shared" si="13"/>
        <v>20</v>
      </c>
      <c r="X71" s="8">
        <f t="shared" si="14"/>
        <v>79.13</v>
      </c>
    </row>
    <row r="72">
      <c r="A72" s="1" t="str">
        <f>TRIM(CLEAN(PROPER(peakflow_q1_2025_dirty!A71)))</f>
        <v>D-1117</v>
      </c>
      <c r="B72" s="10">
        <f>DATEVALUE(TRIM(CLEAN(peakflow_q1_2025_dirty!B71)))</f>
        <v>45679</v>
      </c>
      <c r="C72" s="1" t="str">
        <f>TRIM(CLEAN(PROPER(peakflow_q1_2025_dirty!C71)))</f>
        <v>Echo Labs</v>
      </c>
      <c r="D72" s="1" t="str">
        <f>TRIM(CLEAN(PROPER(peakflow_q1_2025_dirty!D71)))</f>
        <v>Pro Plan</v>
      </c>
      <c r="E72" s="1" t="str">
        <f>TRIM(CLEAN(PROPER(peakflow_q1_2025_dirty!E71)))</f>
        <v>David Kim</v>
      </c>
      <c r="F72" s="1" t="str">
        <f>TRIM(CLEAN(PROPER(peakflow_q1_2025_dirty!F71)))</f>
        <v>Sarah Chen</v>
      </c>
      <c r="G72" s="1" t="str">
        <f>TRIM(CLEAN(UPPER(peakflow_q1_2025_dirty!G71)))</f>
        <v>APAC</v>
      </c>
      <c r="H72" s="1">
        <f>VALUE(TRIM((CLEAN(peakflow_q1_2025_dirty!H71))))</f>
        <v>1</v>
      </c>
      <c r="I72" s="8">
        <f>VALUE(SUBSTITUTE(peakflow_q1_2025_dirty!I71,".","," ))</f>
        <v>189.77</v>
      </c>
      <c r="J72" s="8">
        <f t="shared" si="1"/>
        <v>189.77</v>
      </c>
      <c r="K72" s="1" t="str">
        <f t="shared" si="2"/>
        <v>Januar</v>
      </c>
      <c r="M72" s="1" t="str">
        <f t="shared" si="3"/>
        <v>#N/A</v>
      </c>
      <c r="N72" s="1" t="str">
        <f t="shared" si="4"/>
        <v>#N/A</v>
      </c>
      <c r="O72" s="1" t="str">
        <f t="shared" si="5"/>
        <v>#N/A</v>
      </c>
      <c r="P72" s="1" t="str">
        <f t="shared" si="6"/>
        <v>#N/A</v>
      </c>
      <c r="Q72" s="1" t="str">
        <f t="shared" si="7"/>
        <v>#N/A</v>
      </c>
      <c r="R72" s="1" t="str">
        <f t="shared" si="8"/>
        <v>#N/A</v>
      </c>
      <c r="S72" s="1" t="str">
        <f t="shared" si="9"/>
        <v>#N/A</v>
      </c>
      <c r="T72" s="1" t="str">
        <f t="shared" si="10"/>
        <v>#N/A</v>
      </c>
      <c r="U72" s="1">
        <f t="shared" si="11"/>
        <v>1</v>
      </c>
      <c r="V72" s="8">
        <f t="shared" si="12"/>
        <v>189.77</v>
      </c>
      <c r="W72" s="1" t="str">
        <f t="shared" si="13"/>
        <v>#N/A</v>
      </c>
      <c r="X72" s="1" t="str">
        <f t="shared" si="14"/>
        <v>#N/A</v>
      </c>
    </row>
    <row r="73">
      <c r="A73" s="1" t="str">
        <f>TRIM(CLEAN(PROPER(peakflow_q1_2025_dirty!A72)))</f>
        <v>D-1125</v>
      </c>
      <c r="B73" s="10">
        <f>DATEVALUE(TRIM(CLEAN(peakflow_q1_2025_dirty!B72)))</f>
        <v>45679</v>
      </c>
      <c r="C73" s="1" t="str">
        <f>TRIM(CLEAN(PROPER(peakflow_q1_2025_dirty!C72)))</f>
        <v>Granite Co</v>
      </c>
      <c r="D73" s="1" t="str">
        <f>TRIM(CLEAN(PROPER(peakflow_q1_2025_dirty!D72)))</f>
        <v>Pro Plan</v>
      </c>
      <c r="E73" s="1" t="str">
        <f>TRIM(CLEAN(PROPER(peakflow_q1_2025_dirty!E72)))</f>
        <v>Elena Rossi</v>
      </c>
      <c r="F73" s="1" t="str">
        <f>TRIM(CLEAN(PROPER(peakflow_q1_2025_dirty!F72)))</f>
        <v>Lukas Becker</v>
      </c>
      <c r="G73" s="1" t="str">
        <f>TRIM(CLEAN(UPPER(peakflow_q1_2025_dirty!G72)))</f>
        <v>LATAM</v>
      </c>
      <c r="H73" s="1">
        <f>VALUE(TRIM((CLEAN(peakflow_q1_2025_dirty!H72))))</f>
        <v>1</v>
      </c>
      <c r="I73" s="8">
        <f>VALUE(SUBSTITUTE(peakflow_q1_2025_dirty!I72,".","," ))</f>
        <v>260.51</v>
      </c>
      <c r="J73" s="8">
        <f t="shared" si="1"/>
        <v>260.51</v>
      </c>
      <c r="K73" s="1" t="str">
        <f t="shared" si="2"/>
        <v>Januar</v>
      </c>
      <c r="M73" s="1" t="str">
        <f t="shared" si="3"/>
        <v>#N/A</v>
      </c>
      <c r="N73" s="1" t="str">
        <f t="shared" si="4"/>
        <v>#N/A</v>
      </c>
      <c r="O73" s="1" t="str">
        <f t="shared" si="5"/>
        <v>#N/A</v>
      </c>
      <c r="P73" s="1" t="str">
        <f t="shared" si="6"/>
        <v>#N/A</v>
      </c>
      <c r="Q73" s="1" t="str">
        <f t="shared" si="7"/>
        <v>#N/A</v>
      </c>
      <c r="R73" s="1" t="str">
        <f t="shared" si="8"/>
        <v>#N/A</v>
      </c>
      <c r="S73" s="1" t="str">
        <f t="shared" si="9"/>
        <v>#N/A</v>
      </c>
      <c r="T73" s="1" t="str">
        <f t="shared" si="10"/>
        <v>#N/A</v>
      </c>
      <c r="U73" s="1">
        <f t="shared" si="11"/>
        <v>1</v>
      </c>
      <c r="V73" s="8">
        <f t="shared" si="12"/>
        <v>260.51</v>
      </c>
      <c r="W73" s="1" t="str">
        <f t="shared" si="13"/>
        <v>#N/A</v>
      </c>
      <c r="X73" s="1" t="str">
        <f t="shared" si="14"/>
        <v>#N/A</v>
      </c>
    </row>
    <row r="74">
      <c r="A74" s="1" t="str">
        <f>TRIM(CLEAN(PROPER(peakflow_q1_2025_dirty!A73)))</f>
        <v>D-1164</v>
      </c>
      <c r="B74" s="10">
        <f>DATEVALUE(TRIM(CLEAN(peakflow_q1_2025_dirty!B73)))</f>
        <v>45679</v>
      </c>
      <c r="C74" s="1" t="str">
        <f>TRIM(CLEAN(PROPER(peakflow_q1_2025_dirty!C73)))</f>
        <v>Vertex Inc</v>
      </c>
      <c r="D74" s="1" t="str">
        <f>TRIM(CLEAN(PROPER(peakflow_q1_2025_dirty!D73)))</f>
        <v>Add-On: Analytics</v>
      </c>
      <c r="E74" s="1" t="str">
        <f>TRIM(CLEAN(PROPER(peakflow_q1_2025_dirty!E73)))</f>
        <v>James Park</v>
      </c>
      <c r="F74" s="1" t="str">
        <f>TRIM(CLEAN(PROPER(peakflow_q1_2025_dirty!F73)))</f>
        <v>Owen Walsh</v>
      </c>
      <c r="G74" s="1" t="str">
        <f>TRIM(CLEAN(PROPER(peakflow_q1_2025_dirty!G73)))</f>
        <v>North America</v>
      </c>
      <c r="H74" s="1">
        <f>VALUE(TRIM((CLEAN(peakflow_q1_2025_dirty!H73))))</f>
        <v>20</v>
      </c>
      <c r="I74" s="8">
        <f>VALUE(SUBSTITUTE(peakflow_q1_2025_dirty!I73,".","," ))</f>
        <v>98.54</v>
      </c>
      <c r="J74" s="8">
        <f t="shared" si="1"/>
        <v>1970.8</v>
      </c>
      <c r="K74" s="1" t="str">
        <f t="shared" si="2"/>
        <v>Januar</v>
      </c>
      <c r="M74" s="1">
        <f t="shared" si="3"/>
        <v>20</v>
      </c>
      <c r="N74" s="8">
        <f t="shared" si="4"/>
        <v>98.54</v>
      </c>
      <c r="O74" s="1" t="str">
        <f t="shared" si="5"/>
        <v>#N/A</v>
      </c>
      <c r="P74" s="1" t="str">
        <f t="shared" si="6"/>
        <v>#N/A</v>
      </c>
      <c r="Q74" s="1" t="str">
        <f t="shared" si="7"/>
        <v>#N/A</v>
      </c>
      <c r="R74" s="1" t="str">
        <f t="shared" si="8"/>
        <v>#N/A</v>
      </c>
      <c r="S74" s="1" t="str">
        <f t="shared" si="9"/>
        <v>#N/A</v>
      </c>
      <c r="T74" s="1" t="str">
        <f t="shared" si="10"/>
        <v>#N/A</v>
      </c>
      <c r="U74" s="1" t="str">
        <f t="shared" si="11"/>
        <v>#N/A</v>
      </c>
      <c r="V74" s="1" t="str">
        <f t="shared" si="12"/>
        <v>#N/A</v>
      </c>
      <c r="W74" s="1" t="str">
        <f t="shared" si="13"/>
        <v>#N/A</v>
      </c>
      <c r="X74" s="1" t="str">
        <f t="shared" si="14"/>
        <v>#N/A</v>
      </c>
    </row>
    <row r="75">
      <c r="A75" s="1" t="str">
        <f>TRIM(CLEAN(PROPER(peakflow_q1_2025_dirty!A74)))</f>
        <v>D-1013</v>
      </c>
      <c r="B75" s="10">
        <f>DATEVALUE(TRIM(CLEAN(peakflow_q1_2025_dirty!B74)))</f>
        <v>45680</v>
      </c>
      <c r="C75" s="1" t="str">
        <f>TRIM(CLEAN(PROPER(peakflow_q1_2025_dirty!C74)))</f>
        <v>Apex Group</v>
      </c>
      <c r="D75" s="1" t="str">
        <f>TRIM(CLEAN(PROPER(peakflow_q1_2025_dirty!D74)))</f>
        <v>Starter Plan</v>
      </c>
      <c r="E75" s="1" t="str">
        <f>TRIM(CLEAN(PROPER(peakflow_q1_2025_dirty!E74)))</f>
        <v>Nina Petrov</v>
      </c>
      <c r="F75" s="1" t="str">
        <f>TRIM(CLEAN(PROPER(peakflow_q1_2025_dirty!F74)))</f>
        <v>Lukas Becker</v>
      </c>
      <c r="G75" s="1" t="str">
        <f>TRIM(CLEAN(UPPER(peakflow_q1_2025_dirty!G74)))</f>
        <v>LATAM</v>
      </c>
      <c r="H75" s="1">
        <f>VALUE(TRIM((CLEAN(peakflow_q1_2025_dirty!H74))))</f>
        <v>1</v>
      </c>
      <c r="I75" s="8">
        <f>VALUE(SUBSTITUTE(peakflow_q1_2025_dirty!I74,".","," ))</f>
        <v>46.97</v>
      </c>
      <c r="J75" s="8">
        <f t="shared" si="1"/>
        <v>46.97</v>
      </c>
      <c r="K75" s="1" t="str">
        <f t="shared" si="2"/>
        <v>Januar</v>
      </c>
      <c r="M75" s="1" t="str">
        <f t="shared" si="3"/>
        <v>#N/A</v>
      </c>
      <c r="N75" s="1" t="str">
        <f t="shared" si="4"/>
        <v>#N/A</v>
      </c>
      <c r="O75" s="1" t="str">
        <f t="shared" si="5"/>
        <v>#N/A</v>
      </c>
      <c r="P75" s="1" t="str">
        <f t="shared" si="6"/>
        <v>#N/A</v>
      </c>
      <c r="Q75" s="1" t="str">
        <f t="shared" si="7"/>
        <v>#N/A</v>
      </c>
      <c r="R75" s="1" t="str">
        <f t="shared" si="8"/>
        <v>#N/A</v>
      </c>
      <c r="S75" s="1" t="str">
        <f t="shared" si="9"/>
        <v>#N/A</v>
      </c>
      <c r="T75" s="1" t="str">
        <f t="shared" si="10"/>
        <v>#N/A</v>
      </c>
      <c r="U75" s="1" t="str">
        <f t="shared" si="11"/>
        <v>#N/A</v>
      </c>
      <c r="V75" s="1" t="str">
        <f t="shared" si="12"/>
        <v>#N/A</v>
      </c>
      <c r="W75" s="1">
        <f t="shared" si="13"/>
        <v>1</v>
      </c>
      <c r="X75" s="8">
        <f t="shared" si="14"/>
        <v>46.97</v>
      </c>
    </row>
    <row r="76">
      <c r="A76" s="1" t="str">
        <f>TRIM(CLEAN(PROPER(peakflow_q1_2025_dirty!A75)))</f>
        <v>D-1144</v>
      </c>
      <c r="B76" s="10">
        <f>DATEVALUE(TRIM(CLEAN(peakflow_q1_2025_dirty!B75)))</f>
        <v>45680</v>
      </c>
      <c r="C76" s="1" t="str">
        <f>TRIM(CLEAN(PROPER(peakflow_q1_2025_dirty!C75)))</f>
        <v>Onyx Group</v>
      </c>
      <c r="D76" s="1" t="str">
        <f>TRIM(CLEAN(PROPER(peakflow_q1_2025_dirty!D75)))</f>
        <v>Add-On: Analytics</v>
      </c>
      <c r="E76" s="1" t="str">
        <f>TRIM(CLEAN(PROPER(peakflow_q1_2025_dirty!E75)))</f>
        <v>Aisha Hassan</v>
      </c>
      <c r="F76" s="1" t="str">
        <f>TRIM(CLEAN(PROPER(peakflow_q1_2025_dirty!F75)))</f>
        <v>Sarah Chen</v>
      </c>
      <c r="G76" s="1" t="str">
        <f>TRIM(CLEAN(PROPER(peakflow_q1_2025_dirty!G75)))</f>
        <v>North America</v>
      </c>
      <c r="H76" s="1">
        <f>VALUE(TRIM((CLEAN(peakflow_q1_2025_dirty!H75))))</f>
        <v>1</v>
      </c>
      <c r="I76" s="8">
        <f>VALUE(SUBSTITUTE(peakflow_q1_2025_dirty!I75,".","," ))</f>
        <v>76.11</v>
      </c>
      <c r="J76" s="8">
        <f t="shared" si="1"/>
        <v>76.11</v>
      </c>
      <c r="K76" s="1" t="str">
        <f t="shared" si="2"/>
        <v>Januar</v>
      </c>
      <c r="M76" s="1">
        <f t="shared" si="3"/>
        <v>1</v>
      </c>
      <c r="N76" s="8">
        <f t="shared" si="4"/>
        <v>76.11</v>
      </c>
      <c r="O76" s="1" t="str">
        <f t="shared" si="5"/>
        <v>#N/A</v>
      </c>
      <c r="P76" s="1" t="str">
        <f t="shared" si="6"/>
        <v>#N/A</v>
      </c>
      <c r="Q76" s="1" t="str">
        <f t="shared" si="7"/>
        <v>#N/A</v>
      </c>
      <c r="R76" s="1" t="str">
        <f t="shared" si="8"/>
        <v>#N/A</v>
      </c>
      <c r="S76" s="1" t="str">
        <f t="shared" si="9"/>
        <v>#N/A</v>
      </c>
      <c r="T76" s="1" t="str">
        <f t="shared" si="10"/>
        <v>#N/A</v>
      </c>
      <c r="U76" s="1" t="str">
        <f t="shared" si="11"/>
        <v>#N/A</v>
      </c>
      <c r="V76" s="1" t="str">
        <f t="shared" si="12"/>
        <v>#N/A</v>
      </c>
      <c r="W76" s="1" t="str">
        <f t="shared" si="13"/>
        <v>#N/A</v>
      </c>
      <c r="X76" s="1" t="str">
        <f t="shared" si="14"/>
        <v>#N/A</v>
      </c>
    </row>
    <row r="77">
      <c r="A77" s="1" t="str">
        <f>TRIM(CLEAN(PROPER(peakflow_q1_2025_dirty!A76)))</f>
        <v>D-1216</v>
      </c>
      <c r="B77" s="10">
        <f>DATEVALUE(TRIM(CLEAN(peakflow_q1_2025_dirty!B76)))</f>
        <v>45680</v>
      </c>
      <c r="C77" s="1" t="str">
        <f>TRIM(CLEAN(PROPER(peakflow_q1_2025_dirty!C76)))</f>
        <v>Catalyst Inc</v>
      </c>
      <c r="D77" s="1" t="str">
        <f>TRIM(CLEAN(PROPER(peakflow_q1_2025_dirty!D76)))</f>
        <v>Pro Plan</v>
      </c>
      <c r="E77" s="1" t="str">
        <f>TRIM(CLEAN(PROPER(peakflow_q1_2025_dirty!E76)))</f>
        <v>Priya Patel</v>
      </c>
      <c r="F77" s="1" t="str">
        <f>TRIM(CLEAN(PROPER(peakflow_q1_2025_dirty!F76)))</f>
        <v>Maya Rodriguez</v>
      </c>
      <c r="G77" s="1" t="str">
        <f>TRIM(CLEAN(UPPER(peakflow_q1_2025_dirty!G76)))</f>
        <v>APAC</v>
      </c>
      <c r="H77" s="1">
        <f>VALUE(TRIM((CLEAN(peakflow_q1_2025_dirty!H76))))</f>
        <v>1</v>
      </c>
      <c r="I77" s="8">
        <f>VALUE(SUBSTITUTE(peakflow_q1_2025_dirty!I76,".","," ))</f>
        <v>256.91</v>
      </c>
      <c r="J77" s="8">
        <f t="shared" si="1"/>
        <v>256.91</v>
      </c>
      <c r="K77" s="1" t="str">
        <f t="shared" si="2"/>
        <v>Januar</v>
      </c>
      <c r="M77" s="1" t="str">
        <f t="shared" si="3"/>
        <v>#N/A</v>
      </c>
      <c r="N77" s="1" t="str">
        <f t="shared" si="4"/>
        <v>#N/A</v>
      </c>
      <c r="O77" s="1" t="str">
        <f t="shared" si="5"/>
        <v>#N/A</v>
      </c>
      <c r="P77" s="1" t="str">
        <f t="shared" si="6"/>
        <v>#N/A</v>
      </c>
      <c r="Q77" s="1" t="str">
        <f t="shared" si="7"/>
        <v>#N/A</v>
      </c>
      <c r="R77" s="1" t="str">
        <f t="shared" si="8"/>
        <v>#N/A</v>
      </c>
      <c r="S77" s="1" t="str">
        <f t="shared" si="9"/>
        <v>#N/A</v>
      </c>
      <c r="T77" s="1" t="str">
        <f t="shared" si="10"/>
        <v>#N/A</v>
      </c>
      <c r="U77" s="1">
        <f t="shared" si="11"/>
        <v>1</v>
      </c>
      <c r="V77" s="8">
        <f t="shared" si="12"/>
        <v>256.91</v>
      </c>
      <c r="W77" s="1" t="str">
        <f t="shared" si="13"/>
        <v>#N/A</v>
      </c>
      <c r="X77" s="1" t="str">
        <f t="shared" si="14"/>
        <v>#N/A</v>
      </c>
    </row>
    <row r="78">
      <c r="A78" s="1" t="str">
        <f>TRIM(CLEAN(PROPER(peakflow_q1_2025_dirty!A77)))</f>
        <v>D-1124</v>
      </c>
      <c r="B78" s="10">
        <f>DATEVALUE(TRIM(CLEAN(peakflow_q1_2025_dirty!B77)))</f>
        <v>45681</v>
      </c>
      <c r="C78" s="1" t="str">
        <f>TRIM(CLEAN(PROPER(peakflow_q1_2025_dirty!C77)))</f>
        <v>Solstice Group</v>
      </c>
      <c r="D78" s="1" t="str">
        <f>TRIM(CLEAN(PROPER(peakflow_q1_2025_dirty!D77)))</f>
        <v>Business Plan</v>
      </c>
      <c r="E78" s="1" t="str">
        <f>TRIM(CLEAN(PROPER(peakflow_q1_2025_dirty!E77)))</f>
        <v>Marcus Johnson</v>
      </c>
      <c r="F78" s="1" t="str">
        <f>TRIM(CLEAN(PROPER(peakflow_q1_2025_dirty!F77)))</f>
        <v>Sarah Chen</v>
      </c>
      <c r="G78" s="1" t="str">
        <f>TRIM(CLEAN(UPPER(peakflow_q1_2025_dirty!G77)))</f>
        <v>LATAM</v>
      </c>
      <c r="H78" s="1">
        <f>VALUE(TRIM((CLEAN(peakflow_q1_2025_dirty!H77))))</f>
        <v>2</v>
      </c>
      <c r="I78" s="8">
        <f>VALUE(SUBSTITUTE(peakflow_q1_2025_dirty!I77,".","," ))</f>
        <v>425.85</v>
      </c>
      <c r="J78" s="8">
        <f t="shared" si="1"/>
        <v>851.7</v>
      </c>
      <c r="K78" s="1" t="str">
        <f t="shared" si="2"/>
        <v>Januar</v>
      </c>
      <c r="M78" s="1" t="str">
        <f t="shared" si="3"/>
        <v>#N/A</v>
      </c>
      <c r="N78" s="1" t="str">
        <f t="shared" si="4"/>
        <v>#N/A</v>
      </c>
      <c r="O78" s="1" t="str">
        <f t="shared" si="5"/>
        <v>#N/A</v>
      </c>
      <c r="P78" s="1" t="str">
        <f t="shared" si="6"/>
        <v>#N/A</v>
      </c>
      <c r="Q78" s="1">
        <f t="shared" si="7"/>
        <v>2</v>
      </c>
      <c r="R78" s="8">
        <f t="shared" si="8"/>
        <v>425.85</v>
      </c>
      <c r="S78" s="1" t="str">
        <f t="shared" si="9"/>
        <v>#N/A</v>
      </c>
      <c r="T78" s="1" t="str">
        <f t="shared" si="10"/>
        <v>#N/A</v>
      </c>
      <c r="U78" s="1" t="str">
        <f t="shared" si="11"/>
        <v>#N/A</v>
      </c>
      <c r="V78" s="1" t="str">
        <f t="shared" si="12"/>
        <v>#N/A</v>
      </c>
      <c r="W78" s="1" t="str">
        <f t="shared" si="13"/>
        <v>#N/A</v>
      </c>
      <c r="X78" s="1" t="str">
        <f t="shared" si="14"/>
        <v>#N/A</v>
      </c>
    </row>
    <row r="79">
      <c r="A79" s="1" t="str">
        <f>TRIM(CLEAN(PROPER(peakflow_q1_2025_dirty!A78)))</f>
        <v>D-1133</v>
      </c>
      <c r="B79" s="10">
        <f>DATEVALUE(TRIM(CLEAN(peakflow_q1_2025_dirty!B78)))</f>
        <v>45681</v>
      </c>
      <c r="C79" s="1" t="str">
        <f>TRIM(CLEAN(PROPER(peakflow_q1_2025_dirty!C78)))</f>
        <v>Fusion Group</v>
      </c>
      <c r="D79" s="1" t="str">
        <f>TRIM(CLEAN(PROPER(peakflow_q1_2025_dirty!D78)))</f>
        <v>Add-On: Support</v>
      </c>
      <c r="E79" s="1" t="str">
        <f>TRIM(CLEAN(PROPER(peakflow_q1_2025_dirty!E78)))</f>
        <v>Aisha Hassan</v>
      </c>
      <c r="F79" s="1" t="str">
        <f>TRIM(CLEAN(PROPER(peakflow_q1_2025_dirty!F78)))</f>
        <v>Sarah Chen</v>
      </c>
      <c r="G79" s="1" t="str">
        <f>TRIM(CLEAN(UPPER(peakflow_q1_2025_dirty!G78)))</f>
        <v>EMEA</v>
      </c>
      <c r="H79" s="1">
        <f>VALUE(TRIM((CLEAN(peakflow_q1_2025_dirty!H78))))</f>
        <v>1</v>
      </c>
      <c r="I79" s="8">
        <f>VALUE(SUBSTITUTE(peakflow_q1_2025_dirty!I78,".","," ))</f>
        <v>132.73</v>
      </c>
      <c r="J79" s="8">
        <f t="shared" si="1"/>
        <v>132.73</v>
      </c>
      <c r="K79" s="1" t="str">
        <f t="shared" si="2"/>
        <v>Januar</v>
      </c>
      <c r="M79" s="1" t="str">
        <f t="shared" si="3"/>
        <v>#N/A</v>
      </c>
      <c r="N79" s="1" t="str">
        <f t="shared" si="4"/>
        <v>#N/A</v>
      </c>
      <c r="O79" s="1">
        <f t="shared" si="5"/>
        <v>1</v>
      </c>
      <c r="P79" s="8">
        <f t="shared" si="6"/>
        <v>132.73</v>
      </c>
      <c r="Q79" s="1" t="str">
        <f t="shared" si="7"/>
        <v>#N/A</v>
      </c>
      <c r="R79" s="1" t="str">
        <f t="shared" si="8"/>
        <v>#N/A</v>
      </c>
      <c r="S79" s="1" t="str">
        <f t="shared" si="9"/>
        <v>#N/A</v>
      </c>
      <c r="T79" s="1" t="str">
        <f t="shared" si="10"/>
        <v>#N/A</v>
      </c>
      <c r="U79" s="1" t="str">
        <f t="shared" si="11"/>
        <v>#N/A</v>
      </c>
      <c r="V79" s="1" t="str">
        <f t="shared" si="12"/>
        <v>#N/A</v>
      </c>
      <c r="W79" s="1" t="str">
        <f t="shared" si="13"/>
        <v>#N/A</v>
      </c>
      <c r="X79" s="1" t="str">
        <f t="shared" si="14"/>
        <v>#N/A</v>
      </c>
    </row>
    <row r="80">
      <c r="A80" s="1" t="str">
        <f>TRIM(CLEAN(PROPER(peakflow_q1_2025_dirty!A79)))</f>
        <v>D-1235</v>
      </c>
      <c r="B80" s="10">
        <f>DATEVALUE(TRIM(CLEAN(peakflow_q1_2025_dirty!B79)))</f>
        <v>45681</v>
      </c>
      <c r="C80" s="1" t="str">
        <f>TRIM(CLEAN(PROPER(peakflow_q1_2025_dirty!C79)))</f>
        <v>Granite Co</v>
      </c>
      <c r="D80" s="1" t="str">
        <f>TRIM(CLEAN(PROPER(peakflow_q1_2025_dirty!D79)))</f>
        <v>Starter Plan</v>
      </c>
      <c r="E80" s="1" t="str">
        <f>TRIM(CLEAN(PROPER(peakflow_q1_2025_dirty!E79)))</f>
        <v>Raj Sharma</v>
      </c>
      <c r="F80" s="1" t="str">
        <f>TRIM(CLEAN(PROPER(peakflow_q1_2025_dirty!F79)))</f>
        <v>Owen Walsh</v>
      </c>
      <c r="G80" s="1" t="str">
        <f>TRIM(CLEAN(UPPER(peakflow_q1_2025_dirty!G79)))</f>
        <v>APAC</v>
      </c>
      <c r="H80" s="1">
        <f>VALUE(TRIM((CLEAN(peakflow_q1_2025_dirty!H79))))</f>
        <v>2</v>
      </c>
      <c r="I80" s="8">
        <f>VALUE(SUBSTITUTE(peakflow_q1_2025_dirty!I79,".","," ))</f>
        <v>42.63</v>
      </c>
      <c r="J80" s="8">
        <f t="shared" si="1"/>
        <v>85.26</v>
      </c>
      <c r="K80" s="1" t="str">
        <f t="shared" si="2"/>
        <v>Januar</v>
      </c>
      <c r="M80" s="1" t="str">
        <f t="shared" si="3"/>
        <v>#N/A</v>
      </c>
      <c r="N80" s="1" t="str">
        <f t="shared" si="4"/>
        <v>#N/A</v>
      </c>
      <c r="O80" s="1" t="str">
        <f t="shared" si="5"/>
        <v>#N/A</v>
      </c>
      <c r="P80" s="1" t="str">
        <f t="shared" si="6"/>
        <v>#N/A</v>
      </c>
      <c r="Q80" s="1" t="str">
        <f t="shared" si="7"/>
        <v>#N/A</v>
      </c>
      <c r="R80" s="1" t="str">
        <f t="shared" si="8"/>
        <v>#N/A</v>
      </c>
      <c r="S80" s="1" t="str">
        <f t="shared" si="9"/>
        <v>#N/A</v>
      </c>
      <c r="T80" s="1" t="str">
        <f t="shared" si="10"/>
        <v>#N/A</v>
      </c>
      <c r="U80" s="1" t="str">
        <f t="shared" si="11"/>
        <v>#N/A</v>
      </c>
      <c r="V80" s="1" t="str">
        <f t="shared" si="12"/>
        <v>#N/A</v>
      </c>
      <c r="W80" s="1">
        <f t="shared" si="13"/>
        <v>2</v>
      </c>
      <c r="X80" s="8">
        <f t="shared" si="14"/>
        <v>42.63</v>
      </c>
    </row>
    <row r="81">
      <c r="A81" s="1" t="str">
        <f>TRIM(CLEAN(PROPER(peakflow_q1_2025_dirty!A80)))</f>
        <v>D-1062</v>
      </c>
      <c r="B81" s="10">
        <f>DATEVALUE(TRIM(CLEAN(peakflow_q1_2025_dirty!B80)))</f>
        <v>45682</v>
      </c>
      <c r="C81" s="1" t="str">
        <f>TRIM(CLEAN(PROPER(peakflow_q1_2025_dirty!C80)))</f>
        <v>Onyx Group</v>
      </c>
      <c r="D81" s="1" t="str">
        <f>TRIM(CLEAN(PROPER(peakflow_q1_2025_dirty!D80)))</f>
        <v>Starter Plan</v>
      </c>
      <c r="E81" s="1" t="str">
        <f>TRIM(CLEAN(PROPER(peakflow_q1_2025_dirty!E80)))</f>
        <v>Sophie Laurent</v>
      </c>
      <c r="F81" s="1" t="str">
        <f>TRIM(CLEAN(PROPER(peakflow_q1_2025_dirty!F80)))</f>
        <v>Maya Rodriguez</v>
      </c>
      <c r="G81" s="1" t="str">
        <f>TRIM(CLEAN(PROPER(peakflow_q1_2025_dirty!G80)))</f>
        <v>North America</v>
      </c>
      <c r="H81" s="1">
        <f>VALUE(TRIM((CLEAN(peakflow_q1_2025_dirty!H80))))</f>
        <v>10</v>
      </c>
      <c r="I81" s="8">
        <f>VALUE(SUBSTITUTE(peakflow_q1_2025_dirty!I80,".","," ))</f>
        <v>53.37</v>
      </c>
      <c r="J81" s="8">
        <f t="shared" si="1"/>
        <v>533.7</v>
      </c>
      <c r="K81" s="1" t="str">
        <f t="shared" si="2"/>
        <v>Januar</v>
      </c>
      <c r="M81" s="1" t="str">
        <f t="shared" si="3"/>
        <v>#N/A</v>
      </c>
      <c r="N81" s="1" t="str">
        <f t="shared" si="4"/>
        <v>#N/A</v>
      </c>
      <c r="O81" s="1" t="str">
        <f t="shared" si="5"/>
        <v>#N/A</v>
      </c>
      <c r="P81" s="1" t="str">
        <f t="shared" si="6"/>
        <v>#N/A</v>
      </c>
      <c r="Q81" s="1" t="str">
        <f t="shared" si="7"/>
        <v>#N/A</v>
      </c>
      <c r="R81" s="1" t="str">
        <f t="shared" si="8"/>
        <v>#N/A</v>
      </c>
      <c r="S81" s="1" t="str">
        <f t="shared" si="9"/>
        <v>#N/A</v>
      </c>
      <c r="T81" s="1" t="str">
        <f t="shared" si="10"/>
        <v>#N/A</v>
      </c>
      <c r="U81" s="1" t="str">
        <f t="shared" si="11"/>
        <v>#N/A</v>
      </c>
      <c r="V81" s="1" t="str">
        <f t="shared" si="12"/>
        <v>#N/A</v>
      </c>
      <c r="W81" s="1">
        <f t="shared" si="13"/>
        <v>10</v>
      </c>
      <c r="X81" s="8">
        <f t="shared" si="14"/>
        <v>53.37</v>
      </c>
    </row>
    <row r="82">
      <c r="A82" s="1" t="str">
        <f>TRIM(CLEAN(PROPER(peakflow_q1_2025_dirty!A81)))</f>
        <v>D-1002</v>
      </c>
      <c r="B82" s="10">
        <f>DATEVALUE(TRIM(CLEAN(peakflow_q1_2025_dirty!B81)))</f>
        <v>45683</v>
      </c>
      <c r="C82" s="1" t="str">
        <f>TRIM(CLEAN(PROPER(peakflow_q1_2025_dirty!C81)))</f>
        <v>Nova Inc</v>
      </c>
      <c r="D82" s="1" t="str">
        <f>TRIM(CLEAN(PROPER(peakflow_q1_2025_dirty!D81)))</f>
        <v>Pro Plan</v>
      </c>
      <c r="E82" s="1" t="str">
        <f>TRIM(CLEAN(PROPER(peakflow_q1_2025_dirty!E81)))</f>
        <v>David Kim</v>
      </c>
      <c r="F82" s="1" t="str">
        <f>TRIM(CLEAN(PROPER(peakflow_q1_2025_dirty!F81)))</f>
        <v>Sarah Chen</v>
      </c>
      <c r="G82" s="1" t="str">
        <f>TRIM(CLEAN(UPPER(peakflow_q1_2025_dirty!G81)))</f>
        <v>LATAM</v>
      </c>
      <c r="H82" s="1">
        <f>VALUE(TRIM((CLEAN(peakflow_q1_2025_dirty!H81))))</f>
        <v>1</v>
      </c>
      <c r="I82" s="8">
        <f>VALUE(SUBSTITUTE(peakflow_q1_2025_dirty!I81,".","," ))</f>
        <v>243.59</v>
      </c>
      <c r="J82" s="8">
        <f t="shared" si="1"/>
        <v>243.59</v>
      </c>
      <c r="K82" s="1" t="str">
        <f t="shared" si="2"/>
        <v>Januar</v>
      </c>
      <c r="M82" s="1" t="str">
        <f t="shared" si="3"/>
        <v>#N/A</v>
      </c>
      <c r="N82" s="1" t="str">
        <f t="shared" si="4"/>
        <v>#N/A</v>
      </c>
      <c r="O82" s="1" t="str">
        <f t="shared" si="5"/>
        <v>#N/A</v>
      </c>
      <c r="P82" s="1" t="str">
        <f t="shared" si="6"/>
        <v>#N/A</v>
      </c>
      <c r="Q82" s="1" t="str">
        <f t="shared" si="7"/>
        <v>#N/A</v>
      </c>
      <c r="R82" s="1" t="str">
        <f t="shared" si="8"/>
        <v>#N/A</v>
      </c>
      <c r="S82" s="1" t="str">
        <f t="shared" si="9"/>
        <v>#N/A</v>
      </c>
      <c r="T82" s="1" t="str">
        <f t="shared" si="10"/>
        <v>#N/A</v>
      </c>
      <c r="U82" s="1">
        <f t="shared" si="11"/>
        <v>1</v>
      </c>
      <c r="V82" s="8">
        <f t="shared" si="12"/>
        <v>243.59</v>
      </c>
      <c r="W82" s="1" t="str">
        <f t="shared" si="13"/>
        <v>#N/A</v>
      </c>
      <c r="X82" s="1" t="str">
        <f t="shared" si="14"/>
        <v>#N/A</v>
      </c>
    </row>
    <row r="83">
      <c r="A83" s="1" t="str">
        <f>TRIM(CLEAN(PROPER(peakflow_q1_2025_dirty!A82)))</f>
        <v>D-1006</v>
      </c>
      <c r="B83" s="10">
        <f>DATEVALUE(TRIM(CLEAN(peakflow_q1_2025_dirty!B82)))</f>
        <v>45683</v>
      </c>
      <c r="C83" s="1" t="str">
        <f>TRIM(CLEAN(PROPER(peakflow_q1_2025_dirty!C82)))</f>
        <v>Nova Inc</v>
      </c>
      <c r="D83" s="1" t="str">
        <f>TRIM(CLEAN(PROPER(peakflow_q1_2025_dirty!D82)))</f>
        <v>Add-On: Support</v>
      </c>
      <c r="E83" s="1" t="str">
        <f>TRIM(CLEAN(PROPER(peakflow_q1_2025_dirty!E82)))</f>
        <v>Aisha Hassan</v>
      </c>
      <c r="F83" s="1" t="str">
        <f>TRIM(CLEAN(PROPER(peakflow_q1_2025_dirty!F82)))</f>
        <v>Sarah Chen</v>
      </c>
      <c r="G83" s="1" t="str">
        <f>TRIM(CLEAN(UPPER(peakflow_q1_2025_dirty!G82)))</f>
        <v>APAC</v>
      </c>
      <c r="H83" s="1">
        <f>VALUE(TRIM((CLEAN(peakflow_q1_2025_dirty!H82))))</f>
        <v>1</v>
      </c>
      <c r="I83" s="8">
        <f>VALUE(SUBSTITUTE(peakflow_q1_2025_dirty!I82,".","," ))</f>
        <v>116.31</v>
      </c>
      <c r="J83" s="8">
        <f t="shared" si="1"/>
        <v>116.31</v>
      </c>
      <c r="K83" s="1" t="str">
        <f t="shared" si="2"/>
        <v>Januar</v>
      </c>
      <c r="M83" s="1" t="str">
        <f t="shared" si="3"/>
        <v>#N/A</v>
      </c>
      <c r="N83" s="1" t="str">
        <f t="shared" si="4"/>
        <v>#N/A</v>
      </c>
      <c r="O83" s="1">
        <f t="shared" si="5"/>
        <v>1</v>
      </c>
      <c r="P83" s="8">
        <f t="shared" si="6"/>
        <v>116.31</v>
      </c>
      <c r="Q83" s="1" t="str">
        <f t="shared" si="7"/>
        <v>#N/A</v>
      </c>
      <c r="R83" s="1" t="str">
        <f t="shared" si="8"/>
        <v>#N/A</v>
      </c>
      <c r="S83" s="1" t="str">
        <f t="shared" si="9"/>
        <v>#N/A</v>
      </c>
      <c r="T83" s="1" t="str">
        <f t="shared" si="10"/>
        <v>#N/A</v>
      </c>
      <c r="U83" s="1" t="str">
        <f t="shared" si="11"/>
        <v>#N/A</v>
      </c>
      <c r="V83" s="1" t="str">
        <f t="shared" si="12"/>
        <v>#N/A</v>
      </c>
      <c r="W83" s="1" t="str">
        <f t="shared" si="13"/>
        <v>#N/A</v>
      </c>
      <c r="X83" s="1" t="str">
        <f t="shared" si="14"/>
        <v>#N/A</v>
      </c>
    </row>
    <row r="84">
      <c r="A84" s="1" t="str">
        <f>TRIM(CLEAN(PROPER(peakflow_q1_2025_dirty!A83)))</f>
        <v>D-1010</v>
      </c>
      <c r="B84" s="10">
        <f>DATEVALUE(TRIM(CLEAN(peakflow_q1_2025_dirty!B83)))</f>
        <v>45683</v>
      </c>
      <c r="C84" s="1" t="str">
        <f>TRIM(CLEAN(PROPER(peakflow_q1_2025_dirty!C83)))</f>
        <v>Driftwood Co</v>
      </c>
      <c r="D84" s="1" t="str">
        <f>TRIM(CLEAN(PROPER(peakflow_q1_2025_dirty!D83)))</f>
        <v>Business Plan</v>
      </c>
      <c r="E84" s="1" t="str">
        <f>TRIM(CLEAN(PROPER(peakflow_q1_2025_dirty!E83)))</f>
        <v>Marcus Johnson</v>
      </c>
      <c r="F84" s="1" t="str">
        <f>TRIM(CLEAN(PROPER(peakflow_q1_2025_dirty!F83)))</f>
        <v>Sarah Chen</v>
      </c>
      <c r="G84" s="1" t="str">
        <f>TRIM(CLEAN(UPPER(peakflow_q1_2025_dirty!G83)))</f>
        <v>APAC</v>
      </c>
      <c r="H84" s="1">
        <f>VALUE(TRIM((CLEAN(peakflow_q1_2025_dirty!H83))))</f>
        <v>1</v>
      </c>
      <c r="I84" s="8">
        <f>VALUE(SUBSTITUTE(peakflow_q1_2025_dirty!I83,".","," ))</f>
        <v>428.51</v>
      </c>
      <c r="J84" s="8">
        <f t="shared" si="1"/>
        <v>428.51</v>
      </c>
      <c r="K84" s="1" t="str">
        <f t="shared" si="2"/>
        <v>Januar</v>
      </c>
      <c r="M84" s="1" t="str">
        <f t="shared" si="3"/>
        <v>#N/A</v>
      </c>
      <c r="N84" s="1" t="str">
        <f t="shared" si="4"/>
        <v>#N/A</v>
      </c>
      <c r="O84" s="1" t="str">
        <f t="shared" si="5"/>
        <v>#N/A</v>
      </c>
      <c r="P84" s="1" t="str">
        <f t="shared" si="6"/>
        <v>#N/A</v>
      </c>
      <c r="Q84" s="1">
        <f t="shared" si="7"/>
        <v>1</v>
      </c>
      <c r="R84" s="8">
        <f t="shared" si="8"/>
        <v>428.51</v>
      </c>
      <c r="S84" s="1" t="str">
        <f t="shared" si="9"/>
        <v>#N/A</v>
      </c>
      <c r="T84" s="1" t="str">
        <f t="shared" si="10"/>
        <v>#N/A</v>
      </c>
      <c r="U84" s="1" t="str">
        <f t="shared" si="11"/>
        <v>#N/A</v>
      </c>
      <c r="V84" s="1" t="str">
        <f t="shared" si="12"/>
        <v>#N/A</v>
      </c>
      <c r="W84" s="1" t="str">
        <f t="shared" si="13"/>
        <v>#N/A</v>
      </c>
      <c r="X84" s="1" t="str">
        <f t="shared" si="14"/>
        <v>#N/A</v>
      </c>
    </row>
    <row r="85">
      <c r="A85" s="1" t="str">
        <f>TRIM(CLEAN(PROPER(peakflow_q1_2025_dirty!A84)))</f>
        <v>D-1064</v>
      </c>
      <c r="B85" s="10">
        <f>DATEVALUE(TRIM(CLEAN(peakflow_q1_2025_dirty!B84)))</f>
        <v>45683</v>
      </c>
      <c r="C85" s="1" t="str">
        <f>TRIM(CLEAN(PROPER(peakflow_q1_2025_dirty!C84)))</f>
        <v>Solstice Group</v>
      </c>
      <c r="D85" s="1" t="str">
        <f>TRIM(CLEAN(PROPER(peakflow_q1_2025_dirty!D84)))</f>
        <v>Business Plan</v>
      </c>
      <c r="E85" s="1" t="str">
        <f>TRIM(CLEAN(PROPER(peakflow_q1_2025_dirty!E84)))</f>
        <v>Elena Rossi</v>
      </c>
      <c r="F85" s="1" t="str">
        <f>TRIM(CLEAN(PROPER(peakflow_q1_2025_dirty!F84)))</f>
        <v>Lukas Becker</v>
      </c>
      <c r="G85" s="1" t="str">
        <f>TRIM(CLEAN(UPPER(peakflow_q1_2025_dirty!G84)))</f>
        <v>APAC</v>
      </c>
      <c r="H85" s="1">
        <f>VALUE(TRIM((CLEAN(peakflow_q1_2025_dirty!H84))))</f>
        <v>1</v>
      </c>
      <c r="I85" s="8">
        <f>VALUE(SUBSTITUTE(peakflow_q1_2025_dirty!I84,".","," ))</f>
        <v>61.21</v>
      </c>
      <c r="J85" s="8">
        <f t="shared" si="1"/>
        <v>61.21</v>
      </c>
      <c r="K85" s="1" t="str">
        <f t="shared" si="2"/>
        <v>Januar</v>
      </c>
      <c r="M85" s="1" t="str">
        <f t="shared" si="3"/>
        <v>#N/A</v>
      </c>
      <c r="N85" s="1" t="str">
        <f t="shared" si="4"/>
        <v>#N/A</v>
      </c>
      <c r="O85" s="1" t="str">
        <f t="shared" si="5"/>
        <v>#N/A</v>
      </c>
      <c r="P85" s="1" t="str">
        <f t="shared" si="6"/>
        <v>#N/A</v>
      </c>
      <c r="Q85" s="1">
        <f t="shared" si="7"/>
        <v>1</v>
      </c>
      <c r="R85" s="8">
        <f t="shared" si="8"/>
        <v>61.21</v>
      </c>
      <c r="S85" s="1" t="str">
        <f t="shared" si="9"/>
        <v>#N/A</v>
      </c>
      <c r="T85" s="1" t="str">
        <f t="shared" si="10"/>
        <v>#N/A</v>
      </c>
      <c r="U85" s="1" t="str">
        <f t="shared" si="11"/>
        <v>#N/A</v>
      </c>
      <c r="V85" s="1" t="str">
        <f t="shared" si="12"/>
        <v>#N/A</v>
      </c>
      <c r="W85" s="1" t="str">
        <f t="shared" si="13"/>
        <v>#N/A</v>
      </c>
      <c r="X85" s="1" t="str">
        <f t="shared" si="14"/>
        <v>#N/A</v>
      </c>
    </row>
    <row r="86">
      <c r="A86" s="1" t="str">
        <f>TRIM(CLEAN(PROPER(peakflow_q1_2025_dirty!A85)))</f>
        <v>D-1190</v>
      </c>
      <c r="B86" s="10">
        <f>DATEVALUE(TRIM(CLEAN(peakflow_q1_2025_dirty!B85)))</f>
        <v>45683</v>
      </c>
      <c r="C86" s="1" t="str">
        <f>TRIM(CLEAN(PROPER(peakflow_q1_2025_dirty!C85)))</f>
        <v>Prism Group</v>
      </c>
      <c r="D86" s="1" t="str">
        <f>TRIM(CLEAN(PROPER(peakflow_q1_2025_dirty!D85)))</f>
        <v>Pro Plan</v>
      </c>
      <c r="E86" s="1" t="str">
        <f>TRIM(CLEAN(PROPER(peakflow_q1_2025_dirty!E85)))</f>
        <v>Priya Patel</v>
      </c>
      <c r="F86" s="1" t="str">
        <f>TRIM(CLEAN(PROPER(peakflow_q1_2025_dirty!F85)))</f>
        <v>Maya Rodriguez</v>
      </c>
      <c r="G86" s="1" t="str">
        <f>TRIM(CLEAN(PROPER(peakflow_q1_2025_dirty!G85)))</f>
        <v>North America</v>
      </c>
      <c r="H86" s="1">
        <f>VALUE(TRIM((CLEAN(peakflow_q1_2025_dirty!H85))))</f>
        <v>5</v>
      </c>
      <c r="I86" s="8">
        <f>VALUE(SUBSTITUTE(peakflow_q1_2025_dirty!I85,".","," ))</f>
        <v>154.79</v>
      </c>
      <c r="J86" s="8">
        <f t="shared" si="1"/>
        <v>773.95</v>
      </c>
      <c r="K86" s="1" t="str">
        <f t="shared" si="2"/>
        <v>Januar</v>
      </c>
      <c r="M86" s="1" t="str">
        <f t="shared" si="3"/>
        <v>#N/A</v>
      </c>
      <c r="N86" s="1" t="str">
        <f t="shared" si="4"/>
        <v>#N/A</v>
      </c>
      <c r="O86" s="1" t="str">
        <f t="shared" si="5"/>
        <v>#N/A</v>
      </c>
      <c r="P86" s="1" t="str">
        <f t="shared" si="6"/>
        <v>#N/A</v>
      </c>
      <c r="Q86" s="1" t="str">
        <f t="shared" si="7"/>
        <v>#N/A</v>
      </c>
      <c r="R86" s="1" t="str">
        <f t="shared" si="8"/>
        <v>#N/A</v>
      </c>
      <c r="S86" s="1" t="str">
        <f t="shared" si="9"/>
        <v>#N/A</v>
      </c>
      <c r="T86" s="1" t="str">
        <f t="shared" si="10"/>
        <v>#N/A</v>
      </c>
      <c r="U86" s="1">
        <f t="shared" si="11"/>
        <v>5</v>
      </c>
      <c r="V86" s="8">
        <f t="shared" si="12"/>
        <v>154.79</v>
      </c>
      <c r="W86" s="1" t="str">
        <f t="shared" si="13"/>
        <v>#N/A</v>
      </c>
      <c r="X86" s="1" t="str">
        <f t="shared" si="14"/>
        <v>#N/A</v>
      </c>
    </row>
    <row r="87">
      <c r="A87" s="1" t="str">
        <f>TRIM(CLEAN(PROPER(peakflow_q1_2025_dirty!A86)))</f>
        <v>D-1200</v>
      </c>
      <c r="B87" s="10">
        <f>DATEVALUE(TRIM(CLEAN(peakflow_q1_2025_dirty!B86)))</f>
        <v>45683</v>
      </c>
      <c r="C87" s="1" t="str">
        <f>TRIM(CLEAN(PROPER(peakflow_q1_2025_dirty!C86)))</f>
        <v>Cascade Group</v>
      </c>
      <c r="D87" s="1" t="str">
        <f>TRIM(CLEAN(PROPER(peakflow_q1_2025_dirty!D86)))</f>
        <v>Business Plan</v>
      </c>
      <c r="E87" s="1" t="str">
        <f>TRIM(CLEAN(PROPER(peakflow_q1_2025_dirty!E86)))</f>
        <v>David Kim</v>
      </c>
      <c r="F87" s="1" t="str">
        <f>TRIM(CLEAN(PROPER(peakflow_q1_2025_dirty!F86)))</f>
        <v>Sarah Chen</v>
      </c>
      <c r="G87" s="1" t="str">
        <f>TRIM(CLEAN(UPPER(peakflow_q1_2025_dirty!G86)))</f>
        <v>EMEA</v>
      </c>
      <c r="H87" s="1">
        <f>VALUE(TRIM((CLEAN(peakflow_q1_2025_dirty!H86))))</f>
        <v>1</v>
      </c>
      <c r="I87" s="8">
        <f>VALUE(SUBSTITUTE(peakflow_q1_2025_dirty!I86,".","," ))</f>
        <v>402.09</v>
      </c>
      <c r="J87" s="8">
        <f t="shared" si="1"/>
        <v>402.09</v>
      </c>
      <c r="K87" s="1" t="str">
        <f t="shared" si="2"/>
        <v>Januar</v>
      </c>
      <c r="M87" s="1" t="str">
        <f t="shared" si="3"/>
        <v>#N/A</v>
      </c>
      <c r="N87" s="1" t="str">
        <f t="shared" si="4"/>
        <v>#N/A</v>
      </c>
      <c r="O87" s="1" t="str">
        <f t="shared" si="5"/>
        <v>#N/A</v>
      </c>
      <c r="P87" s="1" t="str">
        <f t="shared" si="6"/>
        <v>#N/A</v>
      </c>
      <c r="Q87" s="1">
        <f t="shared" si="7"/>
        <v>1</v>
      </c>
      <c r="R87" s="8">
        <f t="shared" si="8"/>
        <v>402.09</v>
      </c>
      <c r="S87" s="1" t="str">
        <f t="shared" si="9"/>
        <v>#N/A</v>
      </c>
      <c r="T87" s="1" t="str">
        <f t="shared" si="10"/>
        <v>#N/A</v>
      </c>
      <c r="U87" s="1" t="str">
        <f t="shared" si="11"/>
        <v>#N/A</v>
      </c>
      <c r="V87" s="1" t="str">
        <f t="shared" si="12"/>
        <v>#N/A</v>
      </c>
      <c r="W87" s="1" t="str">
        <f t="shared" si="13"/>
        <v>#N/A</v>
      </c>
      <c r="X87" s="1" t="str">
        <f t="shared" si="14"/>
        <v>#N/A</v>
      </c>
    </row>
    <row r="88">
      <c r="A88" s="1" t="str">
        <f>TRIM(CLEAN(PROPER(peakflow_q1_2025_dirty!A87)))</f>
        <v>D-1221</v>
      </c>
      <c r="B88" s="10">
        <f>DATEVALUE(TRIM(CLEAN(peakflow_q1_2025_dirty!B87)))</f>
        <v>45683</v>
      </c>
      <c r="C88" s="1" t="str">
        <f>TRIM(CLEAN(PROPER(peakflow_q1_2025_dirty!C87)))</f>
        <v>Quill Labs</v>
      </c>
      <c r="D88" s="1" t="str">
        <f>TRIM(CLEAN(PROPER(peakflow_q1_2025_dirty!D87)))</f>
        <v>Pro Plan</v>
      </c>
      <c r="E88" s="1" t="str">
        <f>TRIM(CLEAN(PROPER(peakflow_q1_2025_dirty!E87)))</f>
        <v>Raj Sharma</v>
      </c>
      <c r="F88" s="1" t="str">
        <f>TRIM(CLEAN(PROPER(peakflow_q1_2025_dirty!F87)))</f>
        <v>Owen Walsh</v>
      </c>
      <c r="G88" s="1" t="str">
        <f>TRIM(CLEAN(UPPER(peakflow_q1_2025_dirty!G87)))</f>
        <v>EMEA</v>
      </c>
      <c r="H88" s="1">
        <f>VALUE(TRIM((CLEAN(peakflow_q1_2025_dirty!H87))))</f>
        <v>2</v>
      </c>
      <c r="I88" s="8">
        <f>VALUE(SUBSTITUTE(peakflow_q1_2025_dirty!I87,".","," ))</f>
        <v>188.38</v>
      </c>
      <c r="J88" s="8">
        <f t="shared" si="1"/>
        <v>376.76</v>
      </c>
      <c r="K88" s="1" t="str">
        <f t="shared" si="2"/>
        <v>Januar</v>
      </c>
      <c r="M88" s="1" t="str">
        <f t="shared" si="3"/>
        <v>#N/A</v>
      </c>
      <c r="N88" s="1" t="str">
        <f t="shared" si="4"/>
        <v>#N/A</v>
      </c>
      <c r="O88" s="1" t="str">
        <f t="shared" si="5"/>
        <v>#N/A</v>
      </c>
      <c r="P88" s="1" t="str">
        <f t="shared" si="6"/>
        <v>#N/A</v>
      </c>
      <c r="Q88" s="1" t="str">
        <f t="shared" si="7"/>
        <v>#N/A</v>
      </c>
      <c r="R88" s="1" t="str">
        <f t="shared" si="8"/>
        <v>#N/A</v>
      </c>
      <c r="S88" s="1" t="str">
        <f t="shared" si="9"/>
        <v>#N/A</v>
      </c>
      <c r="T88" s="1" t="str">
        <f t="shared" si="10"/>
        <v>#N/A</v>
      </c>
      <c r="U88" s="1">
        <f t="shared" si="11"/>
        <v>2</v>
      </c>
      <c r="V88" s="8">
        <f t="shared" si="12"/>
        <v>188.38</v>
      </c>
      <c r="W88" s="1" t="str">
        <f t="shared" si="13"/>
        <v>#N/A</v>
      </c>
      <c r="X88" s="1" t="str">
        <f t="shared" si="14"/>
        <v>#N/A</v>
      </c>
    </row>
    <row r="89">
      <c r="A89" s="1" t="str">
        <f>TRIM(CLEAN(PROPER(peakflow_q1_2025_dirty!A88)))</f>
        <v>D-1224</v>
      </c>
      <c r="B89" s="10">
        <f>DATEVALUE(TRIM(CLEAN(peakflow_q1_2025_dirty!B88)))</f>
        <v>45683</v>
      </c>
      <c r="C89" s="1" t="str">
        <f>TRIM(CLEAN(PROPER(peakflow_q1_2025_dirty!C88)))</f>
        <v>Verdant Inc</v>
      </c>
      <c r="D89" s="1" t="str">
        <f>TRIM(CLEAN(PROPER(peakflow_q1_2025_dirty!D88)))</f>
        <v>Pro Plan</v>
      </c>
      <c r="E89" s="1" t="str">
        <f>TRIM(CLEAN(PROPER(peakflow_q1_2025_dirty!E88)))</f>
        <v>Carlos Mendez</v>
      </c>
      <c r="F89" s="1" t="str">
        <f>TRIM(CLEAN(PROPER(peakflow_q1_2025_dirty!F88)))</f>
        <v>Maya Rodriguez</v>
      </c>
      <c r="G89" s="1" t="str">
        <f>TRIM(CLEAN(UPPER(peakflow_q1_2025_dirty!G88)))</f>
        <v>APAC</v>
      </c>
      <c r="H89" s="1">
        <f>VALUE(TRIM((CLEAN(peakflow_q1_2025_dirty!H88))))</f>
        <v>1</v>
      </c>
      <c r="I89" s="8">
        <f>VALUE(SUBSTITUTE(peakflow_q1_2025_dirty!I88,".","," ))</f>
        <v>195.73</v>
      </c>
      <c r="J89" s="8">
        <f t="shared" si="1"/>
        <v>195.73</v>
      </c>
      <c r="K89" s="1" t="str">
        <f t="shared" si="2"/>
        <v>Januar</v>
      </c>
      <c r="M89" s="1" t="str">
        <f t="shared" si="3"/>
        <v>#N/A</v>
      </c>
      <c r="N89" s="1" t="str">
        <f t="shared" si="4"/>
        <v>#N/A</v>
      </c>
      <c r="O89" s="1" t="str">
        <f t="shared" si="5"/>
        <v>#N/A</v>
      </c>
      <c r="P89" s="1" t="str">
        <f t="shared" si="6"/>
        <v>#N/A</v>
      </c>
      <c r="Q89" s="1" t="str">
        <f t="shared" si="7"/>
        <v>#N/A</v>
      </c>
      <c r="R89" s="1" t="str">
        <f t="shared" si="8"/>
        <v>#N/A</v>
      </c>
      <c r="S89" s="1" t="str">
        <f t="shared" si="9"/>
        <v>#N/A</v>
      </c>
      <c r="T89" s="1" t="str">
        <f t="shared" si="10"/>
        <v>#N/A</v>
      </c>
      <c r="U89" s="1">
        <f t="shared" si="11"/>
        <v>1</v>
      </c>
      <c r="V89" s="8">
        <f t="shared" si="12"/>
        <v>195.73</v>
      </c>
      <c r="W89" s="1" t="str">
        <f t="shared" si="13"/>
        <v>#N/A</v>
      </c>
      <c r="X89" s="1" t="str">
        <f t="shared" si="14"/>
        <v>#N/A</v>
      </c>
    </row>
    <row r="90">
      <c r="A90" s="1" t="str">
        <f>TRIM(CLEAN(PROPER(peakflow_q1_2025_dirty!A89)))</f>
        <v>D-1093</v>
      </c>
      <c r="B90" s="10">
        <f>DATEVALUE(TRIM(CLEAN(peakflow_q1_2025_dirty!B89)))</f>
        <v>45684</v>
      </c>
      <c r="C90" s="1" t="str">
        <f>TRIM(CLEAN(PROPER(peakflow_q1_2025_dirty!C89)))</f>
        <v>Obsidian Co</v>
      </c>
      <c r="D90" s="1" t="str">
        <f>TRIM(CLEAN(PROPER(peakflow_q1_2025_dirty!D89)))</f>
        <v>Business Plan</v>
      </c>
      <c r="E90" s="1" t="str">
        <f>TRIM(CLEAN(PROPER(peakflow_q1_2025_dirty!E89)))</f>
        <v>Elena Rossi</v>
      </c>
      <c r="F90" s="1" t="str">
        <f>TRIM(CLEAN(PROPER(peakflow_q1_2025_dirty!F89)))</f>
        <v>Lukas Becker</v>
      </c>
      <c r="G90" s="1" t="str">
        <f>TRIM(CLEAN(UPPER(peakflow_q1_2025_dirty!G89)))</f>
        <v>APAC</v>
      </c>
      <c r="H90" s="1">
        <f>VALUE(TRIM((CLEAN(peakflow_q1_2025_dirty!H89))))</f>
        <v>20</v>
      </c>
      <c r="I90" s="8">
        <f>VALUE(SUBSTITUTE(peakflow_q1_2025_dirty!I89,".","," ))</f>
        <v>487.09</v>
      </c>
      <c r="J90" s="8">
        <f t="shared" si="1"/>
        <v>9741.8</v>
      </c>
      <c r="K90" s="1" t="str">
        <f t="shared" si="2"/>
        <v>Januar</v>
      </c>
      <c r="M90" s="1" t="str">
        <f t="shared" si="3"/>
        <v>#N/A</v>
      </c>
      <c r="N90" s="1" t="str">
        <f t="shared" si="4"/>
        <v>#N/A</v>
      </c>
      <c r="O90" s="1" t="str">
        <f t="shared" si="5"/>
        <v>#N/A</v>
      </c>
      <c r="P90" s="1" t="str">
        <f t="shared" si="6"/>
        <v>#N/A</v>
      </c>
      <c r="Q90" s="1">
        <f t="shared" si="7"/>
        <v>20</v>
      </c>
      <c r="R90" s="8">
        <f t="shared" si="8"/>
        <v>487.09</v>
      </c>
      <c r="S90" s="1" t="str">
        <f t="shared" si="9"/>
        <v>#N/A</v>
      </c>
      <c r="T90" s="1" t="str">
        <f t="shared" si="10"/>
        <v>#N/A</v>
      </c>
      <c r="U90" s="1" t="str">
        <f t="shared" si="11"/>
        <v>#N/A</v>
      </c>
      <c r="V90" s="1" t="str">
        <f t="shared" si="12"/>
        <v>#N/A</v>
      </c>
      <c r="W90" s="1" t="str">
        <f t="shared" si="13"/>
        <v>#N/A</v>
      </c>
      <c r="X90" s="1" t="str">
        <f t="shared" si="14"/>
        <v>#N/A</v>
      </c>
    </row>
    <row r="91">
      <c r="A91" s="1" t="str">
        <f>TRIM(CLEAN(PROPER(peakflow_q1_2025_dirty!A90)))</f>
        <v>D-1003</v>
      </c>
      <c r="B91" s="10">
        <f>DATEVALUE(TRIM(CLEAN(peakflow_q1_2025_dirty!B90)))</f>
        <v>45685</v>
      </c>
      <c r="C91" s="1" t="str">
        <f>TRIM(CLEAN(PROPER(peakflow_q1_2025_dirty!C90)))</f>
        <v>Citadel Group</v>
      </c>
      <c r="D91" s="1" t="str">
        <f>TRIM(CLEAN(PROPER(peakflow_q1_2025_dirty!D90)))</f>
        <v>Enterprise Plan</v>
      </c>
      <c r="E91" s="1" t="str">
        <f>TRIM(CLEAN(PROPER(peakflow_q1_2025_dirty!E90)))</f>
        <v>Carlos Mendez</v>
      </c>
      <c r="F91" s="1" t="str">
        <f>TRIM(CLEAN(PROPER(peakflow_q1_2025_dirty!F90)))</f>
        <v>Maya Rodriguez</v>
      </c>
      <c r="G91" s="1" t="str">
        <f>TRIM(CLEAN(UPPER(peakflow_q1_2025_dirty!G90)))</f>
        <v>EMEA</v>
      </c>
      <c r="H91" s="1">
        <f>VALUE(TRIM((CLEAN(peakflow_q1_2025_dirty!H90))))</f>
        <v>10</v>
      </c>
      <c r="I91" s="8">
        <f>VALUE(SUBSTITUTE(peakflow_q1_2025_dirty!I90,".","," ))</f>
        <v>1330.75</v>
      </c>
      <c r="J91" s="8">
        <f t="shared" si="1"/>
        <v>13307.5</v>
      </c>
      <c r="K91" s="1" t="str">
        <f t="shared" si="2"/>
        <v>Januar</v>
      </c>
      <c r="M91" s="1" t="str">
        <f t="shared" si="3"/>
        <v>#N/A</v>
      </c>
      <c r="N91" s="1" t="str">
        <f t="shared" si="4"/>
        <v>#N/A</v>
      </c>
      <c r="O91" s="1" t="str">
        <f t="shared" si="5"/>
        <v>#N/A</v>
      </c>
      <c r="P91" s="1" t="str">
        <f t="shared" si="6"/>
        <v>#N/A</v>
      </c>
      <c r="Q91" s="1" t="str">
        <f t="shared" si="7"/>
        <v>#N/A</v>
      </c>
      <c r="R91" s="1" t="str">
        <f t="shared" si="8"/>
        <v>#N/A</v>
      </c>
      <c r="S91" s="1">
        <f t="shared" si="9"/>
        <v>10</v>
      </c>
      <c r="T91" s="8">
        <f t="shared" si="10"/>
        <v>1330.75</v>
      </c>
      <c r="U91" s="1" t="str">
        <f t="shared" si="11"/>
        <v>#N/A</v>
      </c>
      <c r="V91" s="1" t="str">
        <f t="shared" si="12"/>
        <v>#N/A</v>
      </c>
      <c r="W91" s="1" t="str">
        <f t="shared" si="13"/>
        <v>#N/A</v>
      </c>
      <c r="X91" s="1" t="str">
        <f t="shared" si="14"/>
        <v>#N/A</v>
      </c>
    </row>
    <row r="92">
      <c r="A92" s="1" t="str">
        <f>TRIM(CLEAN(PROPER(peakflow_q1_2025_dirty!A91)))</f>
        <v>D-1107</v>
      </c>
      <c r="B92" s="10">
        <f>DATEVALUE(TRIM(CLEAN(peakflow_q1_2025_dirty!B91)))</f>
        <v>45685</v>
      </c>
      <c r="C92" s="1" t="str">
        <f>TRIM(CLEAN(PROPER(peakflow_q1_2025_dirty!C91)))</f>
        <v>Nova Inc</v>
      </c>
      <c r="D92" s="1" t="str">
        <f>TRIM(CLEAN(PROPER(peakflow_q1_2025_dirty!D91)))</f>
        <v>Enterprise Plan</v>
      </c>
      <c r="E92" s="1" t="str">
        <f>TRIM(CLEAN(PROPER(peakflow_q1_2025_dirty!E91)))</f>
        <v>Nina Petrov</v>
      </c>
      <c r="F92" s="1" t="str">
        <f>TRIM(CLEAN(PROPER(peakflow_q1_2025_dirty!F91)))</f>
        <v>Lukas Becker</v>
      </c>
      <c r="G92" s="1" t="str">
        <f>TRIM(CLEAN(UPPER(peakflow_q1_2025_dirty!G91)))</f>
        <v>APAC</v>
      </c>
      <c r="H92" s="1">
        <f>VALUE(TRIM((CLEAN(peakflow_q1_2025_dirty!H91))))</f>
        <v>50</v>
      </c>
      <c r="I92" s="8">
        <f>VALUE(SUBSTITUTE(peakflow_q1_2025_dirty!I91,".","," ))</f>
        <v>932.32</v>
      </c>
      <c r="J92" s="8">
        <f t="shared" si="1"/>
        <v>46616</v>
      </c>
      <c r="K92" s="1" t="str">
        <f t="shared" si="2"/>
        <v>Januar</v>
      </c>
      <c r="M92" s="1" t="str">
        <f t="shared" si="3"/>
        <v>#N/A</v>
      </c>
      <c r="N92" s="1" t="str">
        <f t="shared" si="4"/>
        <v>#N/A</v>
      </c>
      <c r="O92" s="1" t="str">
        <f t="shared" si="5"/>
        <v>#N/A</v>
      </c>
      <c r="P92" s="1" t="str">
        <f t="shared" si="6"/>
        <v>#N/A</v>
      </c>
      <c r="Q92" s="1" t="str">
        <f t="shared" si="7"/>
        <v>#N/A</v>
      </c>
      <c r="R92" s="1" t="str">
        <f t="shared" si="8"/>
        <v>#N/A</v>
      </c>
      <c r="S92" s="1">
        <f t="shared" si="9"/>
        <v>50</v>
      </c>
      <c r="T92" s="8">
        <f t="shared" si="10"/>
        <v>932.32</v>
      </c>
      <c r="U92" s="1" t="str">
        <f t="shared" si="11"/>
        <v>#N/A</v>
      </c>
      <c r="V92" s="1" t="str">
        <f t="shared" si="12"/>
        <v>#N/A</v>
      </c>
      <c r="W92" s="1" t="str">
        <f t="shared" si="13"/>
        <v>#N/A</v>
      </c>
      <c r="X92" s="1" t="str">
        <f t="shared" si="14"/>
        <v>#N/A</v>
      </c>
    </row>
    <row r="93">
      <c r="A93" s="1" t="str">
        <f>TRIM(CLEAN(PROPER(peakflow_q1_2025_dirty!A92)))</f>
        <v>D-1135</v>
      </c>
      <c r="B93" s="10">
        <f>DATEVALUE(TRIM(CLEAN(peakflow_q1_2025_dirty!B92)))</f>
        <v>45685</v>
      </c>
      <c r="C93" s="1" t="str">
        <f>TRIM(CLEAN(PROPER(peakflow_q1_2025_dirty!C92)))</f>
        <v>Northwind Co</v>
      </c>
      <c r="D93" s="1" t="str">
        <f>TRIM(CLEAN(PROPER(peakflow_q1_2025_dirty!D92)))</f>
        <v>Business Plan</v>
      </c>
      <c r="E93" s="1" t="str">
        <f>TRIM(CLEAN(PROPER(peakflow_q1_2025_dirty!E92)))</f>
        <v>David Kim</v>
      </c>
      <c r="F93" s="1" t="str">
        <f>TRIM(CLEAN(PROPER(peakflow_q1_2025_dirty!F92)))</f>
        <v>Sarah Chen</v>
      </c>
      <c r="G93" s="1" t="str">
        <f>TRIM(CLEAN(PROPER(peakflow_q1_2025_dirty!G92)))</f>
        <v>North America</v>
      </c>
      <c r="H93" s="1">
        <f>VALUE(TRIM((CLEAN(peakflow_q1_2025_dirty!H92))))</f>
        <v>1</v>
      </c>
      <c r="I93" s="8">
        <f>VALUE(SUBSTITUTE(peakflow_q1_2025_dirty!I92,".","," ))</f>
        <v>493.26</v>
      </c>
      <c r="J93" s="8">
        <f t="shared" si="1"/>
        <v>493.26</v>
      </c>
      <c r="K93" s="1" t="str">
        <f t="shared" si="2"/>
        <v>Januar</v>
      </c>
      <c r="M93" s="1" t="str">
        <f t="shared" si="3"/>
        <v>#N/A</v>
      </c>
      <c r="N93" s="1" t="str">
        <f t="shared" si="4"/>
        <v>#N/A</v>
      </c>
      <c r="O93" s="1" t="str">
        <f t="shared" si="5"/>
        <v>#N/A</v>
      </c>
      <c r="P93" s="1" t="str">
        <f t="shared" si="6"/>
        <v>#N/A</v>
      </c>
      <c r="Q93" s="1">
        <f t="shared" si="7"/>
        <v>1</v>
      </c>
      <c r="R93" s="8">
        <f t="shared" si="8"/>
        <v>493.26</v>
      </c>
      <c r="S93" s="1" t="str">
        <f t="shared" si="9"/>
        <v>#N/A</v>
      </c>
      <c r="T93" s="1" t="str">
        <f t="shared" si="10"/>
        <v>#N/A</v>
      </c>
      <c r="U93" s="1" t="str">
        <f t="shared" si="11"/>
        <v>#N/A</v>
      </c>
      <c r="V93" s="1" t="str">
        <f t="shared" si="12"/>
        <v>#N/A</v>
      </c>
      <c r="W93" s="1" t="str">
        <f t="shared" si="13"/>
        <v>#N/A</v>
      </c>
      <c r="X93" s="1" t="str">
        <f t="shared" si="14"/>
        <v>#N/A</v>
      </c>
    </row>
    <row r="94">
      <c r="A94" s="1" t="str">
        <f>TRIM(CLEAN(PROPER(peakflow_q1_2025_dirty!A93)))</f>
        <v>D-1131</v>
      </c>
      <c r="B94" s="10">
        <f>DATEVALUE(TRIM(CLEAN(peakflow_q1_2025_dirty!B93)))</f>
        <v>45686</v>
      </c>
      <c r="C94" s="1" t="str">
        <f>TRIM(CLEAN(PROPER(peakflow_q1_2025_dirty!C93)))</f>
        <v>Quill Labs</v>
      </c>
      <c r="D94" s="1" t="str">
        <f>TRIM(CLEAN(PROPER(peakflow_q1_2025_dirty!D93)))</f>
        <v>Starter Plan</v>
      </c>
      <c r="E94" s="1" t="str">
        <f>TRIM(CLEAN(PROPER(peakflow_q1_2025_dirty!E93)))</f>
        <v>Carlos Mendez</v>
      </c>
      <c r="F94" s="1" t="str">
        <f>TRIM(CLEAN(PROPER(peakflow_q1_2025_dirty!F93)))</f>
        <v>Maya Rodriguez</v>
      </c>
      <c r="G94" s="1" t="str">
        <f>TRIM(CLEAN(PROPER(peakflow_q1_2025_dirty!G93)))</f>
        <v>North America</v>
      </c>
      <c r="H94" s="1">
        <f>VALUE(TRIM((CLEAN(peakflow_q1_2025_dirty!H93))))</f>
        <v>5</v>
      </c>
      <c r="I94" s="8">
        <f>VALUE(SUBSTITUTE(peakflow_q1_2025_dirty!I93,".","," ))</f>
        <v>45.35</v>
      </c>
      <c r="J94" s="8">
        <f t="shared" si="1"/>
        <v>226.75</v>
      </c>
      <c r="K94" s="1" t="str">
        <f t="shared" si="2"/>
        <v>Januar</v>
      </c>
      <c r="M94" s="1" t="str">
        <f t="shared" si="3"/>
        <v>#N/A</v>
      </c>
      <c r="N94" s="1" t="str">
        <f t="shared" si="4"/>
        <v>#N/A</v>
      </c>
      <c r="O94" s="1" t="str">
        <f t="shared" si="5"/>
        <v>#N/A</v>
      </c>
      <c r="P94" s="1" t="str">
        <f t="shared" si="6"/>
        <v>#N/A</v>
      </c>
      <c r="Q94" s="1" t="str">
        <f t="shared" si="7"/>
        <v>#N/A</v>
      </c>
      <c r="R94" s="1" t="str">
        <f t="shared" si="8"/>
        <v>#N/A</v>
      </c>
      <c r="S94" s="1" t="str">
        <f t="shared" si="9"/>
        <v>#N/A</v>
      </c>
      <c r="T94" s="1" t="str">
        <f t="shared" si="10"/>
        <v>#N/A</v>
      </c>
      <c r="U94" s="1" t="str">
        <f t="shared" si="11"/>
        <v>#N/A</v>
      </c>
      <c r="V94" s="1" t="str">
        <f t="shared" si="12"/>
        <v>#N/A</v>
      </c>
      <c r="W94" s="1">
        <f t="shared" si="13"/>
        <v>5</v>
      </c>
      <c r="X94" s="8">
        <f t="shared" si="14"/>
        <v>45.35</v>
      </c>
    </row>
    <row r="95">
      <c r="A95" s="1" t="str">
        <f>TRIM(CLEAN(PROPER(peakflow_q1_2025_dirty!A94)))</f>
        <v>D-1142</v>
      </c>
      <c r="B95" s="10">
        <f>DATEVALUE(TRIM(CLEAN(peakflow_q1_2025_dirty!B94)))</f>
        <v>45686</v>
      </c>
      <c r="C95" s="1" t="str">
        <f>TRIM(CLEAN(PROPER(peakflow_q1_2025_dirty!C94)))</f>
        <v>Apex Group</v>
      </c>
      <c r="D95" s="1" t="str">
        <f>TRIM(CLEAN(PROPER(peakflow_q1_2025_dirty!D94)))</f>
        <v>Business Plan</v>
      </c>
      <c r="E95" s="1" t="str">
        <f>TRIM(CLEAN(PROPER(peakflow_q1_2025_dirty!E94)))</f>
        <v>Hannah Lee</v>
      </c>
      <c r="F95" s="1" t="str">
        <f>TRIM(CLEAN(PROPER(peakflow_q1_2025_dirty!F94)))</f>
        <v>Owen Walsh</v>
      </c>
      <c r="G95" s="1" t="str">
        <f>TRIM(CLEAN(PROPER(peakflow_q1_2025_dirty!G94)))</f>
        <v>North America</v>
      </c>
      <c r="H95" s="1">
        <f>VALUE(TRIM((CLEAN(peakflow_q1_2025_dirty!H94))))</f>
        <v>1</v>
      </c>
      <c r="I95" s="8">
        <f>VALUE(SUBSTITUTE(peakflow_q1_2025_dirty!I94,".","," ))</f>
        <v>479.31</v>
      </c>
      <c r="J95" s="8">
        <f t="shared" si="1"/>
        <v>479.31</v>
      </c>
      <c r="K95" s="1" t="str">
        <f t="shared" si="2"/>
        <v>Januar</v>
      </c>
      <c r="M95" s="1" t="str">
        <f t="shared" si="3"/>
        <v>#N/A</v>
      </c>
      <c r="N95" s="1" t="str">
        <f t="shared" si="4"/>
        <v>#N/A</v>
      </c>
      <c r="O95" s="1" t="str">
        <f t="shared" si="5"/>
        <v>#N/A</v>
      </c>
      <c r="P95" s="1" t="str">
        <f t="shared" si="6"/>
        <v>#N/A</v>
      </c>
      <c r="Q95" s="1">
        <f t="shared" si="7"/>
        <v>1</v>
      </c>
      <c r="R95" s="8">
        <f t="shared" si="8"/>
        <v>479.31</v>
      </c>
      <c r="S95" s="1" t="str">
        <f t="shared" si="9"/>
        <v>#N/A</v>
      </c>
      <c r="T95" s="1" t="str">
        <f t="shared" si="10"/>
        <v>#N/A</v>
      </c>
      <c r="U95" s="1" t="str">
        <f t="shared" si="11"/>
        <v>#N/A</v>
      </c>
      <c r="V95" s="1" t="str">
        <f t="shared" si="12"/>
        <v>#N/A</v>
      </c>
      <c r="W95" s="1" t="str">
        <f t="shared" si="13"/>
        <v>#N/A</v>
      </c>
      <c r="X95" s="1" t="str">
        <f t="shared" si="14"/>
        <v>#N/A</v>
      </c>
    </row>
    <row r="96">
      <c r="A96" s="1" t="str">
        <f>TRIM(CLEAN(PROPER(peakflow_q1_2025_dirty!A95)))</f>
        <v>D-1199</v>
      </c>
      <c r="B96" s="10">
        <f>DATEVALUE(TRIM(CLEAN(peakflow_q1_2025_dirty!B95)))</f>
        <v>45686</v>
      </c>
      <c r="C96" s="1" t="str">
        <f>TRIM(CLEAN(PROPER(peakflow_q1_2025_dirty!C95)))</f>
        <v>Meridian Group</v>
      </c>
      <c r="D96" s="1" t="str">
        <f>TRIM(CLEAN(PROPER(peakflow_q1_2025_dirty!D95)))</f>
        <v>Starter Plan</v>
      </c>
      <c r="E96" s="1" t="str">
        <f>TRIM(CLEAN(PROPER(peakflow_q1_2025_dirty!E95)))</f>
        <v>Carlos Mendez</v>
      </c>
      <c r="F96" s="1" t="str">
        <f>TRIM(CLEAN(PROPER(peakflow_q1_2025_dirty!F95)))</f>
        <v>Maya Rodriguez</v>
      </c>
      <c r="G96" s="1" t="str">
        <f>TRIM(CLEAN(UPPER(peakflow_q1_2025_dirty!G95)))</f>
        <v>EMEA</v>
      </c>
      <c r="H96" s="1">
        <f>VALUE(TRIM((CLEAN(peakflow_q1_2025_dirty!H95))))</f>
        <v>1</v>
      </c>
      <c r="I96" s="8">
        <f>VALUE(SUBSTITUTE(peakflow_q1_2025_dirty!I95,".","," ))</f>
        <v>49.17</v>
      </c>
      <c r="J96" s="8">
        <f t="shared" si="1"/>
        <v>49.17</v>
      </c>
      <c r="K96" s="1" t="str">
        <f t="shared" si="2"/>
        <v>Januar</v>
      </c>
      <c r="M96" s="1" t="str">
        <f t="shared" si="3"/>
        <v>#N/A</v>
      </c>
      <c r="N96" s="1" t="str">
        <f t="shared" si="4"/>
        <v>#N/A</v>
      </c>
      <c r="O96" s="1" t="str">
        <f t="shared" si="5"/>
        <v>#N/A</v>
      </c>
      <c r="P96" s="1" t="str">
        <f t="shared" si="6"/>
        <v>#N/A</v>
      </c>
      <c r="Q96" s="1" t="str">
        <f t="shared" si="7"/>
        <v>#N/A</v>
      </c>
      <c r="R96" s="1" t="str">
        <f t="shared" si="8"/>
        <v>#N/A</v>
      </c>
      <c r="S96" s="1" t="str">
        <f t="shared" si="9"/>
        <v>#N/A</v>
      </c>
      <c r="T96" s="1" t="str">
        <f t="shared" si="10"/>
        <v>#N/A</v>
      </c>
      <c r="U96" s="1" t="str">
        <f t="shared" si="11"/>
        <v>#N/A</v>
      </c>
      <c r="V96" s="1" t="str">
        <f t="shared" si="12"/>
        <v>#N/A</v>
      </c>
      <c r="W96" s="1">
        <f t="shared" si="13"/>
        <v>1</v>
      </c>
      <c r="X96" s="8">
        <f t="shared" si="14"/>
        <v>49.17</v>
      </c>
    </row>
    <row r="97">
      <c r="A97" s="1" t="str">
        <f>TRIM(CLEAN(PROPER(peakflow_q1_2025_dirty!A96)))</f>
        <v>D-1014</v>
      </c>
      <c r="B97" s="10">
        <f>DATEVALUE(TRIM(CLEAN(peakflow_q1_2025_dirty!B96)))</f>
        <v>45687</v>
      </c>
      <c r="C97" s="1" t="str">
        <f>TRIM(CLEAN(PROPER(peakflow_q1_2025_dirty!C96)))</f>
        <v>Obsidian Co</v>
      </c>
      <c r="D97" s="1" t="str">
        <f>TRIM(CLEAN(PROPER(peakflow_q1_2025_dirty!D96)))</f>
        <v>Add-On: Support</v>
      </c>
      <c r="E97" s="1" t="str">
        <f>TRIM(CLEAN(PROPER(peakflow_q1_2025_dirty!E96)))</f>
        <v>Carlos Mendez</v>
      </c>
      <c r="F97" s="1" t="str">
        <f>TRIM(CLEAN(PROPER(peakflow_q1_2025_dirty!F96)))</f>
        <v>Maya Rodriguez</v>
      </c>
      <c r="G97" s="1" t="str">
        <f>TRIM(CLEAN(UPPER(peakflow_q1_2025_dirty!G96)))</f>
        <v>EMEA</v>
      </c>
      <c r="H97" s="1">
        <f>VALUE(TRIM((CLEAN(peakflow_q1_2025_dirty!H96))))</f>
        <v>1</v>
      </c>
      <c r="I97" s="8">
        <f>VALUE(SUBSTITUTE(peakflow_q1_2025_dirty!I96,".","," ))</f>
        <v>114.94</v>
      </c>
      <c r="J97" s="8">
        <f t="shared" si="1"/>
        <v>114.94</v>
      </c>
      <c r="K97" s="1" t="str">
        <f t="shared" si="2"/>
        <v>Januar</v>
      </c>
      <c r="M97" s="1" t="str">
        <f t="shared" si="3"/>
        <v>#N/A</v>
      </c>
      <c r="N97" s="1" t="str">
        <f t="shared" si="4"/>
        <v>#N/A</v>
      </c>
      <c r="O97" s="1">
        <f t="shared" si="5"/>
        <v>1</v>
      </c>
      <c r="P97" s="8">
        <f t="shared" si="6"/>
        <v>114.94</v>
      </c>
      <c r="Q97" s="1" t="str">
        <f t="shared" si="7"/>
        <v>#N/A</v>
      </c>
      <c r="R97" s="1" t="str">
        <f t="shared" si="8"/>
        <v>#N/A</v>
      </c>
      <c r="S97" s="1" t="str">
        <f t="shared" si="9"/>
        <v>#N/A</v>
      </c>
      <c r="T97" s="1" t="str">
        <f t="shared" si="10"/>
        <v>#N/A</v>
      </c>
      <c r="U97" s="1" t="str">
        <f t="shared" si="11"/>
        <v>#N/A</v>
      </c>
      <c r="V97" s="1" t="str">
        <f t="shared" si="12"/>
        <v>#N/A</v>
      </c>
      <c r="W97" s="1" t="str">
        <f t="shared" si="13"/>
        <v>#N/A</v>
      </c>
      <c r="X97" s="1" t="str">
        <f t="shared" si="14"/>
        <v>#N/A</v>
      </c>
    </row>
    <row r="98">
      <c r="A98" s="1" t="str">
        <f>TRIM(CLEAN(PROPER(peakflow_q1_2025_dirty!A97)))</f>
        <v>D-1051</v>
      </c>
      <c r="B98" s="10">
        <f>DATEVALUE(TRIM(CLEAN(peakflow_q1_2025_dirty!B97)))</f>
        <v>45687</v>
      </c>
      <c r="C98" s="1" t="str">
        <f>TRIM(CLEAN(PROPER(peakflow_q1_2025_dirty!C97)))</f>
        <v>Orbit Co</v>
      </c>
      <c r="D98" s="1" t="str">
        <f>TRIM(CLEAN(PROPER(peakflow_q1_2025_dirty!D97)))</f>
        <v>Enterprise Plan</v>
      </c>
      <c r="E98" s="1" t="str">
        <f>TRIM(CLEAN(PROPER(peakflow_q1_2025_dirty!E97)))</f>
        <v>Elena Rossi</v>
      </c>
      <c r="F98" s="1" t="str">
        <f>TRIM(CLEAN(PROPER(peakflow_q1_2025_dirty!F97)))</f>
        <v>Lukas Becker</v>
      </c>
      <c r="G98" s="1" t="str">
        <f>TRIM(CLEAN(UPPER(peakflow_q1_2025_dirty!G97)))</f>
        <v>APAC</v>
      </c>
      <c r="H98" s="1">
        <f>VALUE(TRIM((CLEAN(peakflow_q1_2025_dirty!H97))))</f>
        <v>2</v>
      </c>
      <c r="I98" s="8">
        <f>VALUE(SUBSTITUTE(peakflow_q1_2025_dirty!I97,".","," ))</f>
        <v>1035.34</v>
      </c>
      <c r="J98" s="8">
        <f t="shared" si="1"/>
        <v>2070.68</v>
      </c>
      <c r="K98" s="1" t="str">
        <f t="shared" si="2"/>
        <v>Januar</v>
      </c>
      <c r="M98" s="1" t="str">
        <f t="shared" si="3"/>
        <v>#N/A</v>
      </c>
      <c r="N98" s="1" t="str">
        <f t="shared" si="4"/>
        <v>#N/A</v>
      </c>
      <c r="O98" s="1" t="str">
        <f t="shared" si="5"/>
        <v>#N/A</v>
      </c>
      <c r="P98" s="1" t="str">
        <f t="shared" si="6"/>
        <v>#N/A</v>
      </c>
      <c r="Q98" s="1" t="str">
        <f t="shared" si="7"/>
        <v>#N/A</v>
      </c>
      <c r="R98" s="1" t="str">
        <f t="shared" si="8"/>
        <v>#N/A</v>
      </c>
      <c r="S98" s="1">
        <f t="shared" si="9"/>
        <v>2</v>
      </c>
      <c r="T98" s="8">
        <f t="shared" si="10"/>
        <v>1035.34</v>
      </c>
      <c r="U98" s="1" t="str">
        <f t="shared" si="11"/>
        <v>#N/A</v>
      </c>
      <c r="V98" s="1" t="str">
        <f t="shared" si="12"/>
        <v>#N/A</v>
      </c>
      <c r="W98" s="1" t="str">
        <f t="shared" si="13"/>
        <v>#N/A</v>
      </c>
      <c r="X98" s="1" t="str">
        <f t="shared" si="14"/>
        <v>#N/A</v>
      </c>
    </row>
    <row r="99">
      <c r="A99" s="1" t="str">
        <f>TRIM(CLEAN(PROPER(peakflow_q1_2025_dirty!A98)))</f>
        <v>D-1140</v>
      </c>
      <c r="B99" s="10">
        <f>DATEVALUE(TRIM(CLEAN(peakflow_q1_2025_dirty!B98)))</f>
        <v>45687</v>
      </c>
      <c r="C99" s="1" t="str">
        <f>TRIM(CLEAN(PROPER(peakflow_q1_2025_dirty!C98)))</f>
        <v>Solstice Group</v>
      </c>
      <c r="D99" s="1" t="str">
        <f>TRIM(CLEAN(PROPER(peakflow_q1_2025_dirty!D98)))</f>
        <v>Add-On: Support</v>
      </c>
      <c r="E99" s="1" t="str">
        <f>TRIM(CLEAN(PROPER(peakflow_q1_2025_dirty!E98)))</f>
        <v>Priya Patel</v>
      </c>
      <c r="F99" s="1" t="str">
        <f>TRIM(CLEAN(PROPER(peakflow_q1_2025_dirty!F98)))</f>
        <v>Maya Rodriguez</v>
      </c>
      <c r="G99" s="1" t="str">
        <f>TRIM(CLEAN(UPPER(peakflow_q1_2025_dirty!G98)))</f>
        <v>APAC</v>
      </c>
      <c r="H99" s="1">
        <f>VALUE(TRIM((CLEAN(peakflow_q1_2025_dirty!H98))))</f>
        <v>2</v>
      </c>
      <c r="I99" s="8">
        <f>VALUE(SUBSTITUTE(peakflow_q1_2025_dirty!I98,".","," ))</f>
        <v>122.21</v>
      </c>
      <c r="J99" s="8">
        <f t="shared" si="1"/>
        <v>244.42</v>
      </c>
      <c r="K99" s="1" t="str">
        <f t="shared" si="2"/>
        <v>Januar</v>
      </c>
      <c r="M99" s="1" t="str">
        <f t="shared" si="3"/>
        <v>#N/A</v>
      </c>
      <c r="N99" s="1" t="str">
        <f t="shared" si="4"/>
        <v>#N/A</v>
      </c>
      <c r="O99" s="1">
        <f t="shared" si="5"/>
        <v>2</v>
      </c>
      <c r="P99" s="8">
        <f t="shared" si="6"/>
        <v>122.21</v>
      </c>
      <c r="Q99" s="1" t="str">
        <f t="shared" si="7"/>
        <v>#N/A</v>
      </c>
      <c r="R99" s="1" t="str">
        <f t="shared" si="8"/>
        <v>#N/A</v>
      </c>
      <c r="S99" s="1" t="str">
        <f t="shared" si="9"/>
        <v>#N/A</v>
      </c>
      <c r="T99" s="1" t="str">
        <f t="shared" si="10"/>
        <v>#N/A</v>
      </c>
      <c r="U99" s="1" t="str">
        <f t="shared" si="11"/>
        <v>#N/A</v>
      </c>
      <c r="V99" s="1" t="str">
        <f t="shared" si="12"/>
        <v>#N/A</v>
      </c>
      <c r="W99" s="1" t="str">
        <f t="shared" si="13"/>
        <v>#N/A</v>
      </c>
      <c r="X99" s="1" t="str">
        <f t="shared" si="14"/>
        <v>#N/A</v>
      </c>
    </row>
    <row r="100">
      <c r="A100" s="1" t="str">
        <f>TRIM(CLEAN(PROPER(peakflow_q1_2025_dirty!A99)))</f>
        <v>D-1178</v>
      </c>
      <c r="B100" s="10">
        <f>DATEVALUE(TRIM(CLEAN(peakflow_q1_2025_dirty!B99)))</f>
        <v>45687</v>
      </c>
      <c r="C100" s="1" t="str">
        <f>TRIM(CLEAN(PROPER(peakflow_q1_2025_dirty!C99)))</f>
        <v>Verdant Inc</v>
      </c>
      <c r="D100" s="1" t="str">
        <f>TRIM(CLEAN(PROPER(peakflow_q1_2025_dirty!D99)))</f>
        <v>Enterprise Plan</v>
      </c>
      <c r="E100" s="1" t="str">
        <f>TRIM(CLEAN(PROPER(peakflow_q1_2025_dirty!E99)))</f>
        <v>Marcus Johnson</v>
      </c>
      <c r="F100" s="1" t="str">
        <f>TRIM(CLEAN(PROPER(peakflow_q1_2025_dirty!F99)))</f>
        <v>Sarah Chen</v>
      </c>
      <c r="G100" s="1" t="str">
        <f>TRIM(CLEAN(UPPER(peakflow_q1_2025_dirty!G99)))</f>
        <v>EMEA</v>
      </c>
      <c r="H100" s="1">
        <f>VALUE(TRIM((CLEAN(peakflow_q1_2025_dirty!H99))))</f>
        <v>20</v>
      </c>
      <c r="I100" s="8">
        <f>VALUE(SUBSTITUTE(peakflow_q1_2025_dirty!I99,".","," ))</f>
        <v>1004.37</v>
      </c>
      <c r="J100" s="8">
        <f t="shared" si="1"/>
        <v>20087.4</v>
      </c>
      <c r="K100" s="1" t="str">
        <f t="shared" si="2"/>
        <v>Januar</v>
      </c>
      <c r="M100" s="1" t="str">
        <f t="shared" si="3"/>
        <v>#N/A</v>
      </c>
      <c r="N100" s="1" t="str">
        <f t="shared" si="4"/>
        <v>#N/A</v>
      </c>
      <c r="O100" s="1" t="str">
        <f t="shared" si="5"/>
        <v>#N/A</v>
      </c>
      <c r="P100" s="1" t="str">
        <f t="shared" si="6"/>
        <v>#N/A</v>
      </c>
      <c r="Q100" s="1" t="str">
        <f t="shared" si="7"/>
        <v>#N/A</v>
      </c>
      <c r="R100" s="1" t="str">
        <f t="shared" si="8"/>
        <v>#N/A</v>
      </c>
      <c r="S100" s="1">
        <f t="shared" si="9"/>
        <v>20</v>
      </c>
      <c r="T100" s="8">
        <f t="shared" si="10"/>
        <v>1004.37</v>
      </c>
      <c r="U100" s="1" t="str">
        <f t="shared" si="11"/>
        <v>#N/A</v>
      </c>
      <c r="V100" s="1" t="str">
        <f t="shared" si="12"/>
        <v>#N/A</v>
      </c>
      <c r="W100" s="1" t="str">
        <f t="shared" si="13"/>
        <v>#N/A</v>
      </c>
      <c r="X100" s="1" t="str">
        <f t="shared" si="14"/>
        <v>#N/A</v>
      </c>
    </row>
    <row r="101">
      <c r="A101" s="1" t="str">
        <f>TRIM(CLEAN(PROPER(peakflow_q1_2025_dirty!A100)))</f>
        <v>D-1146</v>
      </c>
      <c r="B101" s="10">
        <f>DATEVALUE(TRIM(CLEAN(peakflow_q1_2025_dirty!B100)))</f>
        <v>45688</v>
      </c>
      <c r="C101" s="1" t="str">
        <f>TRIM(CLEAN(PROPER(peakflow_q1_2025_dirty!C100)))</f>
        <v>Borealis Co</v>
      </c>
      <c r="D101" s="1" t="str">
        <f>TRIM(CLEAN(PROPER(peakflow_q1_2025_dirty!D100)))</f>
        <v>Starter Plan</v>
      </c>
      <c r="E101" s="1" t="str">
        <f>TRIM(CLEAN(PROPER(peakflow_q1_2025_dirty!E100)))</f>
        <v>Marcus Johnson</v>
      </c>
      <c r="F101" s="1" t="str">
        <f>TRIM(CLEAN(PROPER(peakflow_q1_2025_dirty!F100)))</f>
        <v>Sarah Chen</v>
      </c>
      <c r="G101" s="1" t="str">
        <f>TRIM(CLEAN(PROPER(peakflow_q1_2025_dirty!G100)))</f>
        <v>North America</v>
      </c>
      <c r="H101" s="1">
        <f>VALUE(TRIM((CLEAN(peakflow_q1_2025_dirty!H100))))</f>
        <v>2</v>
      </c>
      <c r="I101" s="8">
        <f>VALUE(SUBSTITUTE(peakflow_q1_2025_dirty!I100,".","," ))</f>
        <v>49.89</v>
      </c>
      <c r="J101" s="8">
        <f t="shared" si="1"/>
        <v>99.78</v>
      </c>
      <c r="K101" s="1" t="str">
        <f t="shared" si="2"/>
        <v>Januar</v>
      </c>
      <c r="M101" s="1" t="str">
        <f t="shared" si="3"/>
        <v>#N/A</v>
      </c>
      <c r="N101" s="1" t="str">
        <f t="shared" si="4"/>
        <v>#N/A</v>
      </c>
      <c r="O101" s="1" t="str">
        <f t="shared" si="5"/>
        <v>#N/A</v>
      </c>
      <c r="P101" s="1" t="str">
        <f t="shared" si="6"/>
        <v>#N/A</v>
      </c>
      <c r="Q101" s="1" t="str">
        <f t="shared" si="7"/>
        <v>#N/A</v>
      </c>
      <c r="R101" s="1" t="str">
        <f t="shared" si="8"/>
        <v>#N/A</v>
      </c>
      <c r="S101" s="1" t="str">
        <f t="shared" si="9"/>
        <v>#N/A</v>
      </c>
      <c r="T101" s="1" t="str">
        <f t="shared" si="10"/>
        <v>#N/A</v>
      </c>
      <c r="U101" s="1" t="str">
        <f t="shared" si="11"/>
        <v>#N/A</v>
      </c>
      <c r="V101" s="1" t="str">
        <f t="shared" si="12"/>
        <v>#N/A</v>
      </c>
      <c r="W101" s="1">
        <f t="shared" si="13"/>
        <v>2</v>
      </c>
      <c r="X101" s="8">
        <f t="shared" si="14"/>
        <v>49.89</v>
      </c>
    </row>
    <row r="102">
      <c r="A102" s="1" t="str">
        <f>TRIM(CLEAN(PROPER(peakflow_q1_2025_dirty!A101)))</f>
        <v>D-1059</v>
      </c>
      <c r="B102" s="10">
        <f>DATEVALUE(TRIM(CLEAN(peakflow_q1_2025_dirty!B101)))</f>
        <v>45689</v>
      </c>
      <c r="C102" s="1" t="str">
        <f>TRIM(CLEAN(PROPER(peakflow_q1_2025_dirty!C101)))</f>
        <v>Phoenix Co</v>
      </c>
      <c r="D102" s="1" t="str">
        <f>TRIM(CLEAN(PROPER(peakflow_q1_2025_dirty!D101)))</f>
        <v>Add-On: Analytics</v>
      </c>
      <c r="E102" s="1" t="str">
        <f>TRIM(CLEAN(PROPER(peakflow_q1_2025_dirty!E101)))</f>
        <v>Carlos Mendez</v>
      </c>
      <c r="F102" s="1" t="str">
        <f>TRIM(CLEAN(PROPER(peakflow_q1_2025_dirty!F101)))</f>
        <v>Maya Rodriguez</v>
      </c>
      <c r="G102" s="1" t="str">
        <f>TRIM(CLEAN(UPPER(peakflow_q1_2025_dirty!G101)))</f>
        <v>EMEA</v>
      </c>
      <c r="H102" s="1">
        <f>VALUE(TRIM((CLEAN(peakflow_q1_2025_dirty!H101))))</f>
        <v>1</v>
      </c>
      <c r="I102" s="8">
        <f>VALUE(SUBSTITUTE(peakflow_q1_2025_dirty!I101,".","," ))</f>
        <v>104.29</v>
      </c>
      <c r="J102" s="8">
        <f t="shared" si="1"/>
        <v>104.29</v>
      </c>
      <c r="K102" s="1" t="str">
        <f t="shared" si="2"/>
        <v>Februar</v>
      </c>
      <c r="M102" s="1">
        <f t="shared" si="3"/>
        <v>1</v>
      </c>
      <c r="N102" s="8">
        <f t="shared" si="4"/>
        <v>104.29</v>
      </c>
      <c r="O102" s="1" t="str">
        <f t="shared" si="5"/>
        <v>#N/A</v>
      </c>
      <c r="P102" s="1" t="str">
        <f t="shared" si="6"/>
        <v>#N/A</v>
      </c>
      <c r="Q102" s="1" t="str">
        <f t="shared" si="7"/>
        <v>#N/A</v>
      </c>
      <c r="R102" s="1" t="str">
        <f t="shared" si="8"/>
        <v>#N/A</v>
      </c>
      <c r="S102" s="1" t="str">
        <f t="shared" si="9"/>
        <v>#N/A</v>
      </c>
      <c r="T102" s="1" t="str">
        <f t="shared" si="10"/>
        <v>#N/A</v>
      </c>
      <c r="U102" s="1" t="str">
        <f t="shared" si="11"/>
        <v>#N/A</v>
      </c>
      <c r="V102" s="1" t="str">
        <f t="shared" si="12"/>
        <v>#N/A</v>
      </c>
      <c r="W102" s="1" t="str">
        <f t="shared" si="13"/>
        <v>#N/A</v>
      </c>
      <c r="X102" s="1" t="str">
        <f t="shared" si="14"/>
        <v>#N/A</v>
      </c>
    </row>
    <row r="103">
      <c r="A103" s="1" t="str">
        <f>TRIM(CLEAN(PROPER(peakflow_q1_2025_dirty!A102)))</f>
        <v>D-1122</v>
      </c>
      <c r="B103" s="10">
        <f>DATEVALUE(TRIM(CLEAN(peakflow_q1_2025_dirty!B102)))</f>
        <v>45689</v>
      </c>
      <c r="C103" s="1" t="str">
        <f>TRIM(CLEAN(PROPER(peakflow_q1_2025_dirty!C102)))</f>
        <v>Beacon Labs</v>
      </c>
      <c r="D103" s="1" t="str">
        <f>TRIM(CLEAN(PROPER(peakflow_q1_2025_dirty!D102)))</f>
        <v>Add-On: Support</v>
      </c>
      <c r="E103" s="1" t="str">
        <f>TRIM(CLEAN(PROPER(peakflow_q1_2025_dirty!E102)))</f>
        <v>Marcus Johnson</v>
      </c>
      <c r="F103" s="1" t="str">
        <f>TRIM(CLEAN(PROPER(peakflow_q1_2025_dirty!F102)))</f>
        <v>Sarah Chen</v>
      </c>
      <c r="G103" s="1" t="str">
        <f>TRIM(CLEAN(UPPER(peakflow_q1_2025_dirty!G102)))</f>
        <v>EMEA</v>
      </c>
      <c r="H103" s="1">
        <f>VALUE(TRIM((CLEAN(peakflow_q1_2025_dirty!H102))))</f>
        <v>10</v>
      </c>
      <c r="I103" s="8">
        <f>VALUE(SUBSTITUTE(peakflow_q1_2025_dirty!I102,".","," ))</f>
        <v>107.07</v>
      </c>
      <c r="J103" s="8">
        <f t="shared" si="1"/>
        <v>1070.7</v>
      </c>
      <c r="K103" s="1" t="str">
        <f t="shared" si="2"/>
        <v>Februar</v>
      </c>
      <c r="M103" s="1" t="str">
        <f t="shared" si="3"/>
        <v>#N/A</v>
      </c>
      <c r="N103" s="1" t="str">
        <f t="shared" si="4"/>
        <v>#N/A</v>
      </c>
      <c r="O103" s="1">
        <f t="shared" si="5"/>
        <v>10</v>
      </c>
      <c r="P103" s="8">
        <f t="shared" si="6"/>
        <v>107.07</v>
      </c>
      <c r="Q103" s="1" t="str">
        <f t="shared" si="7"/>
        <v>#N/A</v>
      </c>
      <c r="R103" s="1" t="str">
        <f t="shared" si="8"/>
        <v>#N/A</v>
      </c>
      <c r="S103" s="1" t="str">
        <f t="shared" si="9"/>
        <v>#N/A</v>
      </c>
      <c r="T103" s="1" t="str">
        <f t="shared" si="10"/>
        <v>#N/A</v>
      </c>
      <c r="U103" s="1" t="str">
        <f t="shared" si="11"/>
        <v>#N/A</v>
      </c>
      <c r="V103" s="1" t="str">
        <f t="shared" si="12"/>
        <v>#N/A</v>
      </c>
      <c r="W103" s="1" t="str">
        <f t="shared" si="13"/>
        <v>#N/A</v>
      </c>
      <c r="X103" s="1" t="str">
        <f t="shared" si="14"/>
        <v>#N/A</v>
      </c>
    </row>
    <row r="104">
      <c r="A104" s="1" t="str">
        <f>TRIM(CLEAN(PROPER(peakflow_q1_2025_dirty!A103)))</f>
        <v>D-1134</v>
      </c>
      <c r="B104" s="10">
        <f>DATEVALUE(TRIM(CLEAN(peakflow_q1_2025_dirty!B103)))</f>
        <v>45689</v>
      </c>
      <c r="C104" s="1" t="str">
        <f>TRIM(CLEAN(PROPER(peakflow_q1_2025_dirty!C103)))</f>
        <v>Citadel Group</v>
      </c>
      <c r="D104" s="1" t="str">
        <f>TRIM(CLEAN(PROPER(peakflow_q1_2025_dirty!D103)))</f>
        <v>Pro Plan</v>
      </c>
      <c r="E104" s="1" t="str">
        <f>TRIM(CLEAN(PROPER(peakflow_q1_2025_dirty!E103)))</f>
        <v>Carlos Mendez</v>
      </c>
      <c r="F104" s="1" t="str">
        <f>TRIM(CLEAN(PROPER(peakflow_q1_2025_dirty!F103)))</f>
        <v>Maya Rodriguez</v>
      </c>
      <c r="G104" s="1" t="str">
        <f>TRIM(CLEAN(UPPER(peakflow_q1_2025_dirty!G103)))</f>
        <v>APAC</v>
      </c>
      <c r="H104" s="1">
        <f>VALUE(TRIM((CLEAN(peakflow_q1_2025_dirty!H103))))</f>
        <v>1</v>
      </c>
      <c r="I104" s="8">
        <f>VALUE(SUBSTITUTE(peakflow_q1_2025_dirty!I103,".","," ))</f>
        <v>285.02</v>
      </c>
      <c r="J104" s="8">
        <f t="shared" si="1"/>
        <v>285.02</v>
      </c>
      <c r="K104" s="1" t="str">
        <f t="shared" si="2"/>
        <v>Februar</v>
      </c>
      <c r="M104" s="1" t="str">
        <f t="shared" si="3"/>
        <v>#N/A</v>
      </c>
      <c r="N104" s="1" t="str">
        <f t="shared" si="4"/>
        <v>#N/A</v>
      </c>
      <c r="O104" s="1" t="str">
        <f t="shared" si="5"/>
        <v>#N/A</v>
      </c>
      <c r="P104" s="1" t="str">
        <f t="shared" si="6"/>
        <v>#N/A</v>
      </c>
      <c r="Q104" s="1" t="str">
        <f t="shared" si="7"/>
        <v>#N/A</v>
      </c>
      <c r="R104" s="1" t="str">
        <f t="shared" si="8"/>
        <v>#N/A</v>
      </c>
      <c r="S104" s="1" t="str">
        <f t="shared" si="9"/>
        <v>#N/A</v>
      </c>
      <c r="T104" s="1" t="str">
        <f t="shared" si="10"/>
        <v>#N/A</v>
      </c>
      <c r="U104" s="1">
        <f t="shared" si="11"/>
        <v>1</v>
      </c>
      <c r="V104" s="8">
        <f t="shared" si="12"/>
        <v>285.02</v>
      </c>
      <c r="W104" s="1" t="str">
        <f t="shared" si="13"/>
        <v>#N/A</v>
      </c>
      <c r="X104" s="1" t="str">
        <f t="shared" si="14"/>
        <v>#N/A</v>
      </c>
    </row>
    <row r="105">
      <c r="A105" s="1" t="str">
        <f>TRIM(CLEAN(PROPER(peakflow_q1_2025_dirty!A104)))</f>
        <v>D-1055</v>
      </c>
      <c r="B105" s="10">
        <f>DATEVALUE(TRIM(CLEAN(peakflow_q1_2025_dirty!B104)))</f>
        <v>45690</v>
      </c>
      <c r="C105" s="1" t="str">
        <f>TRIM(CLEAN(PROPER(peakflow_q1_2025_dirty!C104)))</f>
        <v>Phoenix Co</v>
      </c>
      <c r="D105" s="1" t="str">
        <f>TRIM(CLEAN(PROPER(peakflow_q1_2025_dirty!D104)))</f>
        <v>Starter Plan</v>
      </c>
      <c r="E105" s="1" t="str">
        <f>TRIM(CLEAN(PROPER(peakflow_q1_2025_dirty!E104)))</f>
        <v>Raj Sharma</v>
      </c>
      <c r="F105" s="1" t="str">
        <f>TRIM(CLEAN(PROPER(peakflow_q1_2025_dirty!F104)))</f>
        <v>Owen Walsh</v>
      </c>
      <c r="G105" s="1" t="str">
        <f>TRIM(CLEAN(UPPER(peakflow_q1_2025_dirty!G104)))</f>
        <v>EMEA</v>
      </c>
      <c r="H105" s="1">
        <f>VALUE(TRIM((CLEAN(peakflow_q1_2025_dirty!H104))))</f>
        <v>5</v>
      </c>
      <c r="I105" s="8">
        <f>VALUE(SUBSTITUTE(peakflow_q1_2025_dirty!I104,".","," ))</f>
        <v>42.45</v>
      </c>
      <c r="J105" s="8">
        <f t="shared" si="1"/>
        <v>212.25</v>
      </c>
      <c r="K105" s="1" t="str">
        <f t="shared" si="2"/>
        <v>Februar</v>
      </c>
      <c r="M105" s="1" t="str">
        <f t="shared" si="3"/>
        <v>#N/A</v>
      </c>
      <c r="N105" s="1" t="str">
        <f t="shared" si="4"/>
        <v>#N/A</v>
      </c>
      <c r="O105" s="1" t="str">
        <f t="shared" si="5"/>
        <v>#N/A</v>
      </c>
      <c r="P105" s="1" t="str">
        <f t="shared" si="6"/>
        <v>#N/A</v>
      </c>
      <c r="Q105" s="1" t="str">
        <f t="shared" si="7"/>
        <v>#N/A</v>
      </c>
      <c r="R105" s="1" t="str">
        <f t="shared" si="8"/>
        <v>#N/A</v>
      </c>
      <c r="S105" s="1" t="str">
        <f t="shared" si="9"/>
        <v>#N/A</v>
      </c>
      <c r="T105" s="1" t="str">
        <f t="shared" si="10"/>
        <v>#N/A</v>
      </c>
      <c r="U105" s="1" t="str">
        <f t="shared" si="11"/>
        <v>#N/A</v>
      </c>
      <c r="V105" s="1" t="str">
        <f t="shared" si="12"/>
        <v>#N/A</v>
      </c>
      <c r="W105" s="1">
        <f t="shared" si="13"/>
        <v>5</v>
      </c>
      <c r="X105" s="8">
        <f t="shared" si="14"/>
        <v>42.45</v>
      </c>
    </row>
    <row r="106">
      <c r="A106" s="1" t="str">
        <f>TRIM(CLEAN(PROPER(peakflow_q1_2025_dirty!A105)))</f>
        <v>D-1068</v>
      </c>
      <c r="B106" s="10">
        <f>DATEVALUE(TRIM(CLEAN(peakflow_q1_2025_dirty!B105)))</f>
        <v>45690</v>
      </c>
      <c r="C106" s="1" t="str">
        <f>TRIM(CLEAN(PROPER(peakflow_q1_2025_dirty!C105)))</f>
        <v>Phoenix Co</v>
      </c>
      <c r="D106" s="1" t="str">
        <f>TRIM(CLEAN(PROPER(peakflow_q1_2025_dirty!D105)))</f>
        <v>Starter Plan</v>
      </c>
      <c r="E106" s="1" t="str">
        <f>TRIM(CLEAN(PROPER(peakflow_q1_2025_dirty!E105)))</f>
        <v>Hannah Lee</v>
      </c>
      <c r="F106" s="1" t="str">
        <f>TRIM(CLEAN(PROPER(peakflow_q1_2025_dirty!F105)))</f>
        <v>Owen Walsh</v>
      </c>
      <c r="G106" s="1" t="str">
        <f>TRIM(CLEAN(PROPER(peakflow_q1_2025_dirty!G105)))</f>
        <v>North America</v>
      </c>
      <c r="H106" s="1">
        <f>VALUE(TRIM((CLEAN(peakflow_q1_2025_dirty!H105))))</f>
        <v>1</v>
      </c>
      <c r="I106" s="8">
        <f>VALUE(SUBSTITUTE(peakflow_q1_2025_dirty!I105,".","," ))</f>
        <v>53.74</v>
      </c>
      <c r="J106" s="8">
        <f t="shared" si="1"/>
        <v>53.74</v>
      </c>
      <c r="K106" s="1" t="str">
        <f t="shared" si="2"/>
        <v>Februar</v>
      </c>
      <c r="M106" s="1" t="str">
        <f t="shared" si="3"/>
        <v>#N/A</v>
      </c>
      <c r="N106" s="1" t="str">
        <f t="shared" si="4"/>
        <v>#N/A</v>
      </c>
      <c r="O106" s="1" t="str">
        <f t="shared" si="5"/>
        <v>#N/A</v>
      </c>
      <c r="P106" s="1" t="str">
        <f t="shared" si="6"/>
        <v>#N/A</v>
      </c>
      <c r="Q106" s="1" t="str">
        <f t="shared" si="7"/>
        <v>#N/A</v>
      </c>
      <c r="R106" s="1" t="str">
        <f t="shared" si="8"/>
        <v>#N/A</v>
      </c>
      <c r="S106" s="1" t="str">
        <f t="shared" si="9"/>
        <v>#N/A</v>
      </c>
      <c r="T106" s="1" t="str">
        <f t="shared" si="10"/>
        <v>#N/A</v>
      </c>
      <c r="U106" s="1" t="str">
        <f t="shared" si="11"/>
        <v>#N/A</v>
      </c>
      <c r="V106" s="1" t="str">
        <f t="shared" si="12"/>
        <v>#N/A</v>
      </c>
      <c r="W106" s="1">
        <f t="shared" si="13"/>
        <v>1</v>
      </c>
      <c r="X106" s="8">
        <f t="shared" si="14"/>
        <v>53.74</v>
      </c>
    </row>
    <row r="107">
      <c r="A107" s="1" t="str">
        <f>TRIM(CLEAN(PROPER(peakflow_q1_2025_dirty!A106)))</f>
        <v>D-1083</v>
      </c>
      <c r="B107" s="10">
        <f>DATEVALUE(TRIM(CLEAN(peakflow_q1_2025_dirty!B106)))</f>
        <v>45690</v>
      </c>
      <c r="C107" s="1" t="str">
        <f>TRIM(CLEAN(PROPER(peakflow_q1_2025_dirty!C106)))</f>
        <v>Orbit Co</v>
      </c>
      <c r="D107" s="1" t="str">
        <f>TRIM(CLEAN(PROPER(peakflow_q1_2025_dirty!D106)))</f>
        <v>Business Plan</v>
      </c>
      <c r="E107" s="1" t="str">
        <f>TRIM(CLEAN(PROPER(peakflow_q1_2025_dirty!E106)))</f>
        <v>Hannah Lee</v>
      </c>
      <c r="F107" s="1" t="str">
        <f>TRIM(CLEAN(PROPER(peakflow_q1_2025_dirty!F106)))</f>
        <v>Owen Walsh</v>
      </c>
      <c r="G107" s="1" t="str">
        <f>TRIM(CLEAN(UPPER(peakflow_q1_2025_dirty!G106)))</f>
        <v>APAC</v>
      </c>
      <c r="H107" s="1">
        <f>VALUE(TRIM((CLEAN(peakflow_q1_2025_dirty!H106))))</f>
        <v>5</v>
      </c>
      <c r="I107" s="8">
        <f>VALUE(SUBSTITUTE(peakflow_q1_2025_dirty!I106,".","," ))</f>
        <v>474.26</v>
      </c>
      <c r="J107" s="8">
        <f t="shared" si="1"/>
        <v>2371.3</v>
      </c>
      <c r="K107" s="1" t="str">
        <f t="shared" si="2"/>
        <v>Februar</v>
      </c>
      <c r="M107" s="1" t="str">
        <f t="shared" si="3"/>
        <v>#N/A</v>
      </c>
      <c r="N107" s="1" t="str">
        <f t="shared" si="4"/>
        <v>#N/A</v>
      </c>
      <c r="O107" s="1" t="str">
        <f t="shared" si="5"/>
        <v>#N/A</v>
      </c>
      <c r="P107" s="1" t="str">
        <f t="shared" si="6"/>
        <v>#N/A</v>
      </c>
      <c r="Q107" s="1">
        <f t="shared" si="7"/>
        <v>5</v>
      </c>
      <c r="R107" s="8">
        <f t="shared" si="8"/>
        <v>474.26</v>
      </c>
      <c r="S107" s="1" t="str">
        <f t="shared" si="9"/>
        <v>#N/A</v>
      </c>
      <c r="T107" s="1" t="str">
        <f t="shared" si="10"/>
        <v>#N/A</v>
      </c>
      <c r="U107" s="1" t="str">
        <f t="shared" si="11"/>
        <v>#N/A</v>
      </c>
      <c r="V107" s="1" t="str">
        <f t="shared" si="12"/>
        <v>#N/A</v>
      </c>
      <c r="W107" s="1" t="str">
        <f t="shared" si="13"/>
        <v>#N/A</v>
      </c>
      <c r="X107" s="1" t="str">
        <f t="shared" si="14"/>
        <v>#N/A</v>
      </c>
    </row>
    <row r="108">
      <c r="A108" s="1" t="str">
        <f>TRIM(CLEAN(PROPER(peakflow_q1_2025_dirty!A107)))</f>
        <v>D-1073</v>
      </c>
      <c r="B108" s="10">
        <f>DATEVALUE(TRIM(CLEAN(peakflow_q1_2025_dirty!B107)))</f>
        <v>45691</v>
      </c>
      <c r="C108" s="1" t="str">
        <f>TRIM(CLEAN(PROPER(peakflow_q1_2025_dirty!C107)))</f>
        <v>Harbor Inc</v>
      </c>
      <c r="D108" s="1" t="str">
        <f>TRIM(CLEAN(PROPER(peakflow_q1_2025_dirty!D107)))</f>
        <v>Pro Plan</v>
      </c>
      <c r="E108" s="1" t="str">
        <f>TRIM(CLEAN(PROPER(peakflow_q1_2025_dirty!E107)))</f>
        <v>David Kim</v>
      </c>
      <c r="F108" s="1" t="str">
        <f>TRIM(CLEAN(PROPER(peakflow_q1_2025_dirty!F107)))</f>
        <v>Sarah Chen</v>
      </c>
      <c r="G108" s="1" t="str">
        <f>TRIM(CLEAN(UPPER(peakflow_q1_2025_dirty!G107)))</f>
        <v>EMEA</v>
      </c>
      <c r="H108" s="1">
        <f>VALUE(TRIM((CLEAN(peakflow_q1_2025_dirty!H107))))</f>
        <v>2</v>
      </c>
      <c r="I108" s="8">
        <f>VALUE(SUBSTITUTE(peakflow_q1_2025_dirty!I107,".","," ))</f>
        <v>240.29</v>
      </c>
      <c r="J108" s="8">
        <f t="shared" si="1"/>
        <v>480.58</v>
      </c>
      <c r="K108" s="1" t="str">
        <f t="shared" si="2"/>
        <v>Februar</v>
      </c>
      <c r="M108" s="1" t="str">
        <f t="shared" si="3"/>
        <v>#N/A</v>
      </c>
      <c r="N108" s="1" t="str">
        <f t="shared" si="4"/>
        <v>#N/A</v>
      </c>
      <c r="O108" s="1" t="str">
        <f t="shared" si="5"/>
        <v>#N/A</v>
      </c>
      <c r="P108" s="1" t="str">
        <f t="shared" si="6"/>
        <v>#N/A</v>
      </c>
      <c r="Q108" s="1" t="str">
        <f t="shared" si="7"/>
        <v>#N/A</v>
      </c>
      <c r="R108" s="1" t="str">
        <f t="shared" si="8"/>
        <v>#N/A</v>
      </c>
      <c r="S108" s="1" t="str">
        <f t="shared" si="9"/>
        <v>#N/A</v>
      </c>
      <c r="T108" s="1" t="str">
        <f t="shared" si="10"/>
        <v>#N/A</v>
      </c>
      <c r="U108" s="1">
        <f t="shared" si="11"/>
        <v>2</v>
      </c>
      <c r="V108" s="8">
        <f t="shared" si="12"/>
        <v>240.29</v>
      </c>
      <c r="W108" s="1" t="str">
        <f t="shared" si="13"/>
        <v>#N/A</v>
      </c>
      <c r="X108" s="1" t="str">
        <f t="shared" si="14"/>
        <v>#N/A</v>
      </c>
    </row>
    <row r="109">
      <c r="A109" s="1" t="str">
        <f>TRIM(CLEAN(PROPER(peakflow_q1_2025_dirty!A108)))</f>
        <v>D-1089</v>
      </c>
      <c r="B109" s="10">
        <f>DATEVALUE(TRIM(CLEAN(peakflow_q1_2025_dirty!B108)))</f>
        <v>45691</v>
      </c>
      <c r="C109" s="1" t="str">
        <f>TRIM(CLEAN(PROPER(peakflow_q1_2025_dirty!C108)))</f>
        <v>Kestrel Co</v>
      </c>
      <c r="D109" s="1" t="str">
        <f>TRIM(CLEAN(PROPER(peakflow_q1_2025_dirty!D108)))</f>
        <v>Enterprise Plan</v>
      </c>
      <c r="E109" s="1" t="str">
        <f>TRIM(CLEAN(PROPER(peakflow_q1_2025_dirty!E108)))</f>
        <v>Aisha Hassan</v>
      </c>
      <c r="F109" s="1" t="str">
        <f>TRIM(CLEAN(PROPER(peakflow_q1_2025_dirty!F108)))</f>
        <v>Sarah Chen</v>
      </c>
      <c r="G109" s="1" t="str">
        <f>TRIM(CLEAN(PROPER(peakflow_q1_2025_dirty!G108)))</f>
        <v>North America</v>
      </c>
      <c r="H109" s="1">
        <f>VALUE(TRIM((CLEAN(peakflow_q1_2025_dirty!H108))))</f>
        <v>1</v>
      </c>
      <c r="I109" s="8">
        <f>VALUE(SUBSTITUTE(peakflow_q1_2025_dirty!I108,".","," ))</f>
        <v>973.3</v>
      </c>
      <c r="J109" s="8">
        <f t="shared" si="1"/>
        <v>973.3</v>
      </c>
      <c r="K109" s="1" t="str">
        <f t="shared" si="2"/>
        <v>Februar</v>
      </c>
      <c r="M109" s="1" t="str">
        <f t="shared" si="3"/>
        <v>#N/A</v>
      </c>
      <c r="N109" s="1" t="str">
        <f t="shared" si="4"/>
        <v>#N/A</v>
      </c>
      <c r="O109" s="1" t="str">
        <f t="shared" si="5"/>
        <v>#N/A</v>
      </c>
      <c r="P109" s="1" t="str">
        <f t="shared" si="6"/>
        <v>#N/A</v>
      </c>
      <c r="Q109" s="1" t="str">
        <f t="shared" si="7"/>
        <v>#N/A</v>
      </c>
      <c r="R109" s="1" t="str">
        <f t="shared" si="8"/>
        <v>#N/A</v>
      </c>
      <c r="S109" s="1">
        <f t="shared" si="9"/>
        <v>1</v>
      </c>
      <c r="T109" s="8">
        <f t="shared" si="10"/>
        <v>973.3</v>
      </c>
      <c r="U109" s="1" t="str">
        <f t="shared" si="11"/>
        <v>#N/A</v>
      </c>
      <c r="V109" s="1" t="str">
        <f t="shared" si="12"/>
        <v>#N/A</v>
      </c>
      <c r="W109" s="1" t="str">
        <f t="shared" si="13"/>
        <v>#N/A</v>
      </c>
      <c r="X109" s="1" t="str">
        <f t="shared" si="14"/>
        <v>#N/A</v>
      </c>
    </row>
    <row r="110">
      <c r="A110" s="1" t="str">
        <f>TRIM(CLEAN(PROPER(peakflow_q1_2025_dirty!A109)))</f>
        <v>D-1161</v>
      </c>
      <c r="B110" s="10">
        <f>DATEVALUE(TRIM(CLEAN(peakflow_q1_2025_dirty!B109)))</f>
        <v>45692</v>
      </c>
      <c r="C110" s="1" t="str">
        <f>TRIM(CLEAN(PROPER(peakflow_q1_2025_dirty!C109)))</f>
        <v>Harbor Inc</v>
      </c>
      <c r="D110" s="1" t="str">
        <f>TRIM(CLEAN(PROPER(peakflow_q1_2025_dirty!D109)))</f>
        <v>Business Plan</v>
      </c>
      <c r="E110" s="1" t="str">
        <f>TRIM(CLEAN(PROPER(peakflow_q1_2025_dirty!E109)))</f>
        <v>Hannah Lee</v>
      </c>
      <c r="F110" s="1" t="str">
        <f>TRIM(CLEAN(PROPER(peakflow_q1_2025_dirty!F109)))</f>
        <v>Owen Walsh</v>
      </c>
      <c r="G110" s="1" t="str">
        <f>TRIM(CLEAN(PROPER(peakflow_q1_2025_dirty!G109)))</f>
        <v>North America</v>
      </c>
      <c r="H110" s="1">
        <f>VALUE(TRIM((CLEAN(peakflow_q1_2025_dirty!H109))))</f>
        <v>5</v>
      </c>
      <c r="I110" s="8">
        <f>VALUE(SUBSTITUTE(peakflow_q1_2025_dirty!I109,".","," ))</f>
        <v>418.06</v>
      </c>
      <c r="J110" s="8">
        <f t="shared" si="1"/>
        <v>2090.3</v>
      </c>
      <c r="K110" s="1" t="str">
        <f t="shared" si="2"/>
        <v>Februar</v>
      </c>
      <c r="M110" s="1" t="str">
        <f t="shared" si="3"/>
        <v>#N/A</v>
      </c>
      <c r="N110" s="1" t="str">
        <f t="shared" si="4"/>
        <v>#N/A</v>
      </c>
      <c r="O110" s="1" t="str">
        <f t="shared" si="5"/>
        <v>#N/A</v>
      </c>
      <c r="P110" s="1" t="str">
        <f t="shared" si="6"/>
        <v>#N/A</v>
      </c>
      <c r="Q110" s="1">
        <f t="shared" si="7"/>
        <v>5</v>
      </c>
      <c r="R110" s="8">
        <f t="shared" si="8"/>
        <v>418.06</v>
      </c>
      <c r="S110" s="1" t="str">
        <f t="shared" si="9"/>
        <v>#N/A</v>
      </c>
      <c r="T110" s="1" t="str">
        <f t="shared" si="10"/>
        <v>#N/A</v>
      </c>
      <c r="U110" s="1" t="str">
        <f t="shared" si="11"/>
        <v>#N/A</v>
      </c>
      <c r="V110" s="1" t="str">
        <f t="shared" si="12"/>
        <v>#N/A</v>
      </c>
      <c r="W110" s="1" t="str">
        <f t="shared" si="13"/>
        <v>#N/A</v>
      </c>
      <c r="X110" s="1" t="str">
        <f t="shared" si="14"/>
        <v>#N/A</v>
      </c>
    </row>
    <row r="111">
      <c r="A111" s="1" t="str">
        <f>TRIM(CLEAN(PROPER(peakflow_q1_2025_dirty!A110)))</f>
        <v>D-1210</v>
      </c>
      <c r="B111" s="10">
        <f>DATEVALUE(TRIM(CLEAN(peakflow_q1_2025_dirty!B110)))</f>
        <v>45692</v>
      </c>
      <c r="C111" s="1" t="str">
        <f>TRIM(CLEAN(PROPER(peakflow_q1_2025_dirty!C110)))</f>
        <v>Borealis Co</v>
      </c>
      <c r="D111" s="1" t="str">
        <f>TRIM(CLEAN(PROPER(peakflow_q1_2025_dirty!D110)))</f>
        <v>Business Plan</v>
      </c>
      <c r="E111" s="1" t="str">
        <f>TRIM(CLEAN(PROPER(peakflow_q1_2025_dirty!E110)))</f>
        <v>Aisha Hassan</v>
      </c>
      <c r="F111" s="1" t="str">
        <f>TRIM(CLEAN(PROPER(peakflow_q1_2025_dirty!F110)))</f>
        <v>Sarah Chen</v>
      </c>
      <c r="G111" s="1" t="str">
        <f>TRIM(CLEAN(UPPER(peakflow_q1_2025_dirty!G110)))</f>
        <v>LATAM</v>
      </c>
      <c r="H111" s="1">
        <f>VALUE(TRIM((CLEAN(peakflow_q1_2025_dirty!H110))))</f>
        <v>5</v>
      </c>
      <c r="I111" s="8">
        <f>VALUE(SUBSTITUTE(peakflow_q1_2025_dirty!I110,".","," ))</f>
        <v>431.34</v>
      </c>
      <c r="J111" s="8">
        <f t="shared" si="1"/>
        <v>2156.7</v>
      </c>
      <c r="K111" s="1" t="str">
        <f t="shared" si="2"/>
        <v>Februar</v>
      </c>
      <c r="M111" s="1" t="str">
        <f t="shared" si="3"/>
        <v>#N/A</v>
      </c>
      <c r="N111" s="1" t="str">
        <f t="shared" si="4"/>
        <v>#N/A</v>
      </c>
      <c r="O111" s="1" t="str">
        <f t="shared" si="5"/>
        <v>#N/A</v>
      </c>
      <c r="P111" s="1" t="str">
        <f t="shared" si="6"/>
        <v>#N/A</v>
      </c>
      <c r="Q111" s="1">
        <f t="shared" si="7"/>
        <v>5</v>
      </c>
      <c r="R111" s="8">
        <f t="shared" si="8"/>
        <v>431.34</v>
      </c>
      <c r="S111" s="1" t="str">
        <f t="shared" si="9"/>
        <v>#N/A</v>
      </c>
      <c r="T111" s="1" t="str">
        <f t="shared" si="10"/>
        <v>#N/A</v>
      </c>
      <c r="U111" s="1" t="str">
        <f t="shared" si="11"/>
        <v>#N/A</v>
      </c>
      <c r="V111" s="1" t="str">
        <f t="shared" si="12"/>
        <v>#N/A</v>
      </c>
      <c r="W111" s="1" t="str">
        <f t="shared" si="13"/>
        <v>#N/A</v>
      </c>
      <c r="X111" s="1" t="str">
        <f t="shared" si="14"/>
        <v>#N/A</v>
      </c>
    </row>
    <row r="112">
      <c r="A112" s="1" t="str">
        <f>TRIM(CLEAN(PROPER(peakflow_q1_2025_dirty!A111)))</f>
        <v>D-1101</v>
      </c>
      <c r="B112" s="10">
        <f>DATEVALUE(TRIM(CLEAN(peakflow_q1_2025_dirty!B111)))</f>
        <v>45693</v>
      </c>
      <c r="C112" s="1" t="str">
        <f>TRIM(CLEAN(PROPER(peakflow_q1_2025_dirty!C111)))</f>
        <v>Rivet Co</v>
      </c>
      <c r="D112" s="1" t="str">
        <f>TRIM(CLEAN(PROPER(peakflow_q1_2025_dirty!D111)))</f>
        <v>Pro Plan</v>
      </c>
      <c r="E112" s="1" t="str">
        <f>TRIM(CLEAN(PROPER(peakflow_q1_2025_dirty!E111)))</f>
        <v>Nina Petrov</v>
      </c>
      <c r="F112" s="1" t="str">
        <f>TRIM(CLEAN(PROPER(peakflow_q1_2025_dirty!F111)))</f>
        <v>Lukas Becker</v>
      </c>
      <c r="G112" s="1" t="str">
        <f>TRIM(CLEAN(UPPER(peakflow_q1_2025_dirty!G111)))</f>
        <v>EMEA</v>
      </c>
      <c r="H112" s="1">
        <f>VALUE(TRIM((CLEAN(peakflow_q1_2025_dirty!H111))))</f>
        <v>5</v>
      </c>
      <c r="I112" s="8">
        <f>VALUE(SUBSTITUTE(peakflow_q1_2025_dirty!I111,".","," ))</f>
        <v>193.4</v>
      </c>
      <c r="J112" s="8">
        <f t="shared" si="1"/>
        <v>967</v>
      </c>
      <c r="K112" s="1" t="str">
        <f t="shared" si="2"/>
        <v>Februar</v>
      </c>
      <c r="M112" s="1" t="str">
        <f t="shared" si="3"/>
        <v>#N/A</v>
      </c>
      <c r="N112" s="1" t="str">
        <f t="shared" si="4"/>
        <v>#N/A</v>
      </c>
      <c r="O112" s="1" t="str">
        <f t="shared" si="5"/>
        <v>#N/A</v>
      </c>
      <c r="P112" s="1" t="str">
        <f t="shared" si="6"/>
        <v>#N/A</v>
      </c>
      <c r="Q112" s="1" t="str">
        <f t="shared" si="7"/>
        <v>#N/A</v>
      </c>
      <c r="R112" s="1" t="str">
        <f t="shared" si="8"/>
        <v>#N/A</v>
      </c>
      <c r="S112" s="1" t="str">
        <f t="shared" si="9"/>
        <v>#N/A</v>
      </c>
      <c r="T112" s="1" t="str">
        <f t="shared" si="10"/>
        <v>#N/A</v>
      </c>
      <c r="U112" s="1">
        <f t="shared" si="11"/>
        <v>5</v>
      </c>
      <c r="V112" s="8">
        <f t="shared" si="12"/>
        <v>193.4</v>
      </c>
      <c r="W112" s="1" t="str">
        <f t="shared" si="13"/>
        <v>#N/A</v>
      </c>
      <c r="X112" s="1" t="str">
        <f t="shared" si="14"/>
        <v>#N/A</v>
      </c>
    </row>
    <row r="113">
      <c r="A113" s="1" t="str">
        <f>TRIM(CLEAN(PROPER(peakflow_q1_2025_dirty!A112)))</f>
        <v>D-1243</v>
      </c>
      <c r="B113" s="10">
        <f>DATEVALUE(TRIM(CLEAN(peakflow_q1_2025_dirty!B112)))</f>
        <v>45693</v>
      </c>
      <c r="C113" s="1" t="str">
        <f>TRIM(CLEAN(PROPER(peakflow_q1_2025_dirty!C112)))</f>
        <v>Nimbus Co</v>
      </c>
      <c r="D113" s="1" t="str">
        <f>TRIM(CLEAN(PROPER(peakflow_q1_2025_dirty!D112)))</f>
        <v>Pro Plan</v>
      </c>
      <c r="E113" s="1" t="str">
        <f>TRIM(CLEAN(PROPER(peakflow_q1_2025_dirty!E112)))</f>
        <v>Nina Petrov</v>
      </c>
      <c r="F113" s="1" t="str">
        <f>TRIM(CLEAN(PROPER(peakflow_q1_2025_dirty!F112)))</f>
        <v>Lukas Becker</v>
      </c>
      <c r="G113" s="1" t="str">
        <f>TRIM(CLEAN(PROPER(peakflow_q1_2025_dirty!G112)))</f>
        <v>North America</v>
      </c>
      <c r="H113" s="1">
        <f>VALUE(TRIM((CLEAN(peakflow_q1_2025_dirty!H112))))</f>
        <v>5</v>
      </c>
      <c r="I113" s="8">
        <f>VALUE(SUBSTITUTE(peakflow_q1_2025_dirty!I112,".","," ))</f>
        <v>249.29</v>
      </c>
      <c r="J113" s="8">
        <f t="shared" si="1"/>
        <v>1246.45</v>
      </c>
      <c r="K113" s="1" t="str">
        <f t="shared" si="2"/>
        <v>Februar</v>
      </c>
      <c r="M113" s="1" t="str">
        <f t="shared" si="3"/>
        <v>#N/A</v>
      </c>
      <c r="N113" s="1" t="str">
        <f t="shared" si="4"/>
        <v>#N/A</v>
      </c>
      <c r="O113" s="1" t="str">
        <f t="shared" si="5"/>
        <v>#N/A</v>
      </c>
      <c r="P113" s="1" t="str">
        <f t="shared" si="6"/>
        <v>#N/A</v>
      </c>
      <c r="Q113" s="1" t="str">
        <f t="shared" si="7"/>
        <v>#N/A</v>
      </c>
      <c r="R113" s="1" t="str">
        <f t="shared" si="8"/>
        <v>#N/A</v>
      </c>
      <c r="S113" s="1" t="str">
        <f t="shared" si="9"/>
        <v>#N/A</v>
      </c>
      <c r="T113" s="1" t="str">
        <f t="shared" si="10"/>
        <v>#N/A</v>
      </c>
      <c r="U113" s="1">
        <f t="shared" si="11"/>
        <v>5</v>
      </c>
      <c r="V113" s="8">
        <f t="shared" si="12"/>
        <v>249.29</v>
      </c>
      <c r="W113" s="1" t="str">
        <f t="shared" si="13"/>
        <v>#N/A</v>
      </c>
      <c r="X113" s="1" t="str">
        <f t="shared" si="14"/>
        <v>#N/A</v>
      </c>
    </row>
    <row r="114">
      <c r="A114" s="1" t="str">
        <f>TRIM(CLEAN(PROPER(peakflow_q1_2025_dirty!A113)))</f>
        <v>D-1015</v>
      </c>
      <c r="B114" s="10">
        <f>DATEVALUE(TRIM(CLEAN(peakflow_q1_2025_dirty!B113)))</f>
        <v>45694</v>
      </c>
      <c r="C114" s="1" t="str">
        <f>TRIM(CLEAN(PROPER(peakflow_q1_2025_dirty!C113)))</f>
        <v>Citadel Group</v>
      </c>
      <c r="D114" s="1" t="str">
        <f>TRIM(CLEAN(PROPER(peakflow_q1_2025_dirty!D113)))</f>
        <v>Starter Plan</v>
      </c>
      <c r="E114" s="1" t="str">
        <f>TRIM(CLEAN(PROPER(peakflow_q1_2025_dirty!E113)))</f>
        <v>Raj Sharma</v>
      </c>
      <c r="F114" s="1" t="str">
        <f>TRIM(CLEAN(PROPER(peakflow_q1_2025_dirty!F113)))</f>
        <v>Owen Walsh</v>
      </c>
      <c r="G114" s="1" t="str">
        <f>TRIM(CLEAN(UPPER(peakflow_q1_2025_dirty!G113)))</f>
        <v>APAC</v>
      </c>
      <c r="H114" s="1">
        <f>VALUE(TRIM((CLEAN(peakflow_q1_2025_dirty!H113))))</f>
        <v>1</v>
      </c>
      <c r="I114" s="8">
        <f>VALUE(SUBSTITUTE(peakflow_q1_2025_dirty!I113,".","," ))</f>
        <v>42.9</v>
      </c>
      <c r="J114" s="8">
        <f t="shared" si="1"/>
        <v>42.9</v>
      </c>
      <c r="K114" s="1" t="str">
        <f t="shared" si="2"/>
        <v>Februar</v>
      </c>
      <c r="M114" s="1" t="str">
        <f t="shared" si="3"/>
        <v>#N/A</v>
      </c>
      <c r="N114" s="1" t="str">
        <f t="shared" si="4"/>
        <v>#N/A</v>
      </c>
      <c r="O114" s="1" t="str">
        <f t="shared" si="5"/>
        <v>#N/A</v>
      </c>
      <c r="P114" s="1" t="str">
        <f t="shared" si="6"/>
        <v>#N/A</v>
      </c>
      <c r="Q114" s="1" t="str">
        <f t="shared" si="7"/>
        <v>#N/A</v>
      </c>
      <c r="R114" s="1" t="str">
        <f t="shared" si="8"/>
        <v>#N/A</v>
      </c>
      <c r="S114" s="1" t="str">
        <f t="shared" si="9"/>
        <v>#N/A</v>
      </c>
      <c r="T114" s="1" t="str">
        <f t="shared" si="10"/>
        <v>#N/A</v>
      </c>
      <c r="U114" s="1" t="str">
        <f t="shared" si="11"/>
        <v>#N/A</v>
      </c>
      <c r="V114" s="1" t="str">
        <f t="shared" si="12"/>
        <v>#N/A</v>
      </c>
      <c r="W114" s="1">
        <f t="shared" si="13"/>
        <v>1</v>
      </c>
      <c r="X114" s="8">
        <f t="shared" si="14"/>
        <v>42.9</v>
      </c>
    </row>
    <row r="115">
      <c r="A115" s="1" t="str">
        <f>TRIM(CLEAN(PROPER(peakflow_q1_2025_dirty!A114)))</f>
        <v>D-1038</v>
      </c>
      <c r="B115" s="10">
        <f>DATEVALUE(TRIM(CLEAN(peakflow_q1_2025_dirty!B114)))</f>
        <v>45695</v>
      </c>
      <c r="C115" s="1" t="str">
        <f>TRIM(CLEAN(PROPER(peakflow_q1_2025_dirty!C114)))</f>
        <v>Quanta Labs</v>
      </c>
      <c r="D115" s="1" t="str">
        <f>TRIM(CLEAN(PROPER(peakflow_q1_2025_dirty!D114)))</f>
        <v>Pro Plan</v>
      </c>
      <c r="E115" s="1" t="str">
        <f>TRIM(CLEAN(PROPER(peakflow_q1_2025_dirty!E114)))</f>
        <v>Nina Petrov</v>
      </c>
      <c r="F115" s="1" t="str">
        <f>TRIM(CLEAN(PROPER(peakflow_q1_2025_dirty!F114)))</f>
        <v>Lukas Becker</v>
      </c>
      <c r="G115" s="1" t="str">
        <f>TRIM(CLEAN(PROPER(peakflow_q1_2025_dirty!G114)))</f>
        <v>North America</v>
      </c>
      <c r="H115" s="1">
        <f>VALUE(TRIM((CLEAN(peakflow_q1_2025_dirty!H114))))</f>
        <v>1</v>
      </c>
      <c r="I115" s="8">
        <f>VALUE(SUBSTITUTE(peakflow_q1_2025_dirty!I114,".","," ))</f>
        <v>184.49</v>
      </c>
      <c r="J115" s="8">
        <f t="shared" si="1"/>
        <v>184.49</v>
      </c>
      <c r="K115" s="1" t="str">
        <f t="shared" si="2"/>
        <v>Februar</v>
      </c>
      <c r="M115" s="1" t="str">
        <f t="shared" si="3"/>
        <v>#N/A</v>
      </c>
      <c r="N115" s="1" t="str">
        <f t="shared" si="4"/>
        <v>#N/A</v>
      </c>
      <c r="O115" s="1" t="str">
        <f t="shared" si="5"/>
        <v>#N/A</v>
      </c>
      <c r="P115" s="1" t="str">
        <f t="shared" si="6"/>
        <v>#N/A</v>
      </c>
      <c r="Q115" s="1" t="str">
        <f t="shared" si="7"/>
        <v>#N/A</v>
      </c>
      <c r="R115" s="1" t="str">
        <f t="shared" si="8"/>
        <v>#N/A</v>
      </c>
      <c r="S115" s="1" t="str">
        <f t="shared" si="9"/>
        <v>#N/A</v>
      </c>
      <c r="T115" s="1" t="str">
        <f t="shared" si="10"/>
        <v>#N/A</v>
      </c>
      <c r="U115" s="1">
        <f t="shared" si="11"/>
        <v>1</v>
      </c>
      <c r="V115" s="8">
        <f t="shared" si="12"/>
        <v>184.49</v>
      </c>
      <c r="W115" s="1" t="str">
        <f t="shared" si="13"/>
        <v>#N/A</v>
      </c>
      <c r="X115" s="1" t="str">
        <f t="shared" si="14"/>
        <v>#N/A</v>
      </c>
    </row>
    <row r="116">
      <c r="A116" s="1" t="str">
        <f>TRIM(CLEAN(PROPER(peakflow_q1_2025_dirty!A115)))</f>
        <v>D-1232</v>
      </c>
      <c r="B116" s="10">
        <f>DATEVALUE(TRIM(CLEAN(peakflow_q1_2025_dirty!B115)))</f>
        <v>45695</v>
      </c>
      <c r="C116" s="1" t="str">
        <f>TRIM(CLEAN(PROPER(peakflow_q1_2025_dirty!C115)))</f>
        <v>Vertex Inc</v>
      </c>
      <c r="D116" s="1" t="str">
        <f>TRIM(CLEAN(PROPER(peakflow_q1_2025_dirty!D115)))</f>
        <v>Starter Plan</v>
      </c>
      <c r="E116" s="1" t="str">
        <f>TRIM(CLEAN(PROPER(peakflow_q1_2025_dirty!E115)))</f>
        <v>Priya Patel</v>
      </c>
      <c r="F116" s="1" t="str">
        <f>TRIM(CLEAN(PROPER(peakflow_q1_2025_dirty!F115)))</f>
        <v>Maya Rodriguez</v>
      </c>
      <c r="G116" s="1" t="str">
        <f>TRIM(CLEAN(UPPER(peakflow_q1_2025_dirty!G115)))</f>
        <v>APAC</v>
      </c>
      <c r="H116" s="1">
        <f>VALUE(TRIM((CLEAN(peakflow_q1_2025_dirty!H115))))</f>
        <v>1</v>
      </c>
      <c r="I116" s="8">
        <f>VALUE(SUBSTITUTE(peakflow_q1_2025_dirty!I115,".","," ))</f>
        <v>54.56</v>
      </c>
      <c r="J116" s="8">
        <f t="shared" si="1"/>
        <v>54.56</v>
      </c>
      <c r="K116" s="1" t="str">
        <f t="shared" si="2"/>
        <v>Februar</v>
      </c>
      <c r="M116" s="1" t="str">
        <f t="shared" si="3"/>
        <v>#N/A</v>
      </c>
      <c r="N116" s="1" t="str">
        <f t="shared" si="4"/>
        <v>#N/A</v>
      </c>
      <c r="O116" s="1" t="str">
        <f t="shared" si="5"/>
        <v>#N/A</v>
      </c>
      <c r="P116" s="1" t="str">
        <f t="shared" si="6"/>
        <v>#N/A</v>
      </c>
      <c r="Q116" s="1" t="str">
        <f t="shared" si="7"/>
        <v>#N/A</v>
      </c>
      <c r="R116" s="1" t="str">
        <f t="shared" si="8"/>
        <v>#N/A</v>
      </c>
      <c r="S116" s="1" t="str">
        <f t="shared" si="9"/>
        <v>#N/A</v>
      </c>
      <c r="T116" s="1" t="str">
        <f t="shared" si="10"/>
        <v>#N/A</v>
      </c>
      <c r="U116" s="1" t="str">
        <f t="shared" si="11"/>
        <v>#N/A</v>
      </c>
      <c r="V116" s="1" t="str">
        <f t="shared" si="12"/>
        <v>#N/A</v>
      </c>
      <c r="W116" s="1">
        <f t="shared" si="13"/>
        <v>1</v>
      </c>
      <c r="X116" s="8">
        <f t="shared" si="14"/>
        <v>54.56</v>
      </c>
    </row>
    <row r="117">
      <c r="A117" s="1" t="str">
        <f>TRIM(CLEAN(PROPER(peakflow_q1_2025_dirty!A117)))</f>
        <v>D-1103</v>
      </c>
      <c r="B117" s="10">
        <f>DATEVALUE(TRIM(CLEAN(peakflow_q1_2025_dirty!B117)))</f>
        <v>45696</v>
      </c>
      <c r="C117" s="1" t="str">
        <f>TRIM(CLEAN(PROPER(peakflow_q1_2025_dirty!C117)))</f>
        <v>Foundry Group</v>
      </c>
      <c r="D117" s="1" t="str">
        <f>TRIM(CLEAN(PROPER(peakflow_q1_2025_dirty!D117)))</f>
        <v>Starter Plan</v>
      </c>
      <c r="E117" s="1" t="str">
        <f>TRIM(CLEAN(PROPER(peakflow_q1_2025_dirty!E117)))</f>
        <v>Sophie Laurent</v>
      </c>
      <c r="F117" s="1" t="str">
        <f>TRIM(CLEAN(PROPER(peakflow_q1_2025_dirty!F117)))</f>
        <v>Maya Rodriguez</v>
      </c>
      <c r="G117" s="1" t="str">
        <f>TRIM(CLEAN(UPPER(peakflow_q1_2025_dirty!G117)))</f>
        <v>APAC</v>
      </c>
      <c r="H117" s="1">
        <f>VALUE(TRIM((CLEAN(peakflow_q1_2025_dirty!H117))))</f>
        <v>2</v>
      </c>
      <c r="I117" s="8">
        <f>VALUE(SUBSTITUTE(peakflow_q1_2025_dirty!I117,".","," ))</f>
        <v>45.13</v>
      </c>
      <c r="J117" s="8">
        <f t="shared" si="1"/>
        <v>90.26</v>
      </c>
      <c r="K117" s="1" t="str">
        <f t="shared" si="2"/>
        <v>Februar</v>
      </c>
      <c r="M117" s="1" t="str">
        <f t="shared" si="3"/>
        <v>#N/A</v>
      </c>
      <c r="N117" s="1" t="str">
        <f t="shared" si="4"/>
        <v>#N/A</v>
      </c>
      <c r="O117" s="1" t="str">
        <f t="shared" si="5"/>
        <v>#N/A</v>
      </c>
      <c r="P117" s="1" t="str">
        <f t="shared" si="6"/>
        <v>#N/A</v>
      </c>
      <c r="Q117" s="1" t="str">
        <f t="shared" si="7"/>
        <v>#N/A</v>
      </c>
      <c r="R117" s="1" t="str">
        <f t="shared" si="8"/>
        <v>#N/A</v>
      </c>
      <c r="S117" s="1" t="str">
        <f t="shared" si="9"/>
        <v>#N/A</v>
      </c>
      <c r="T117" s="1" t="str">
        <f t="shared" si="10"/>
        <v>#N/A</v>
      </c>
      <c r="U117" s="1" t="str">
        <f t="shared" si="11"/>
        <v>#N/A</v>
      </c>
      <c r="V117" s="1" t="str">
        <f t="shared" si="12"/>
        <v>#N/A</v>
      </c>
      <c r="W117" s="1">
        <f t="shared" si="13"/>
        <v>2</v>
      </c>
      <c r="X117" s="8">
        <f t="shared" si="14"/>
        <v>45.13</v>
      </c>
    </row>
    <row r="118">
      <c r="A118" s="1" t="str">
        <f>TRIM(CLEAN(PROPER(peakflow_q1_2025_dirty!A118)))</f>
        <v>D-1116</v>
      </c>
      <c r="B118" s="10">
        <f>DATEVALUE(TRIM(CLEAN(peakflow_q1_2025_dirty!B118)))</f>
        <v>45696</v>
      </c>
      <c r="C118" s="1" t="str">
        <f>TRIM(CLEAN(PROPER(peakflow_q1_2025_dirty!C118)))</f>
        <v>Cascade Group</v>
      </c>
      <c r="D118" s="1" t="str">
        <f>TRIM(CLEAN(PROPER(peakflow_q1_2025_dirty!D118)))</f>
        <v>Starter Plan</v>
      </c>
      <c r="E118" s="1" t="str">
        <f>TRIM(CLEAN(PROPER(peakflow_q1_2025_dirty!E118)))</f>
        <v>Elena Rossi</v>
      </c>
      <c r="F118" s="1" t="str">
        <f>TRIM(CLEAN(PROPER(peakflow_q1_2025_dirty!F118)))</f>
        <v>Lukas Becker</v>
      </c>
      <c r="G118" s="1" t="str">
        <f>TRIM(CLEAN(UPPER(peakflow_q1_2025_dirty!G118)))</f>
        <v>APAC</v>
      </c>
      <c r="H118" s="1">
        <f>VALUE(TRIM((CLEAN(peakflow_q1_2025_dirty!H118))))</f>
        <v>1</v>
      </c>
      <c r="I118" s="8">
        <f>VALUE(SUBSTITUTE(peakflow_q1_2025_dirty!I118,".","," ))</f>
        <v>74.46</v>
      </c>
      <c r="J118" s="8">
        <f t="shared" si="1"/>
        <v>74.46</v>
      </c>
      <c r="K118" s="1" t="str">
        <f t="shared" si="2"/>
        <v>Februar</v>
      </c>
      <c r="M118" s="1" t="str">
        <f t="shared" si="3"/>
        <v>#N/A</v>
      </c>
      <c r="N118" s="1" t="str">
        <f t="shared" si="4"/>
        <v>#N/A</v>
      </c>
      <c r="O118" s="1" t="str">
        <f t="shared" si="5"/>
        <v>#N/A</v>
      </c>
      <c r="P118" s="1" t="str">
        <f t="shared" si="6"/>
        <v>#N/A</v>
      </c>
      <c r="Q118" s="1" t="str">
        <f t="shared" si="7"/>
        <v>#N/A</v>
      </c>
      <c r="R118" s="1" t="str">
        <f t="shared" si="8"/>
        <v>#N/A</v>
      </c>
      <c r="S118" s="1" t="str">
        <f t="shared" si="9"/>
        <v>#N/A</v>
      </c>
      <c r="T118" s="1" t="str">
        <f t="shared" si="10"/>
        <v>#N/A</v>
      </c>
      <c r="U118" s="1" t="str">
        <f t="shared" si="11"/>
        <v>#N/A</v>
      </c>
      <c r="V118" s="1" t="str">
        <f t="shared" si="12"/>
        <v>#N/A</v>
      </c>
      <c r="W118" s="1">
        <f t="shared" si="13"/>
        <v>1</v>
      </c>
      <c r="X118" s="8">
        <f t="shared" si="14"/>
        <v>74.46</v>
      </c>
    </row>
    <row r="119">
      <c r="A119" s="1" t="str">
        <f>TRIM(CLEAN(PROPER(peakflow_q1_2025_dirty!A119)))</f>
        <v>D-1181</v>
      </c>
      <c r="B119" s="10">
        <f>DATEVALUE(TRIM(CLEAN(peakflow_q1_2025_dirty!B119)))</f>
        <v>45696</v>
      </c>
      <c r="C119" s="1" t="str">
        <f>TRIM(CLEAN(PROPER(peakflow_q1_2025_dirty!C119)))</f>
        <v>Summit Group</v>
      </c>
      <c r="D119" s="1" t="str">
        <f>TRIM(CLEAN(PROPER(peakflow_q1_2025_dirty!D119)))</f>
        <v>Pro Plan</v>
      </c>
      <c r="E119" s="1" t="str">
        <f>TRIM(CLEAN(PROPER(peakflow_q1_2025_dirty!E119)))</f>
        <v>Priya Patel</v>
      </c>
      <c r="F119" s="1" t="str">
        <f>TRIM(CLEAN(PROPER(peakflow_q1_2025_dirty!F119)))</f>
        <v>Maya Rodriguez</v>
      </c>
      <c r="G119" s="1" t="str">
        <f>TRIM(CLEAN(UPPER(peakflow_q1_2025_dirty!G119)))</f>
        <v>EMEA</v>
      </c>
      <c r="H119" s="1">
        <f>VALUE(TRIM((CLEAN(peakflow_q1_2025_dirty!H119))))</f>
        <v>1</v>
      </c>
      <c r="I119" s="8">
        <f>VALUE(SUBSTITUTE(peakflow_q1_2025_dirty!I119,".","," ))</f>
        <v>235.36</v>
      </c>
      <c r="J119" s="8">
        <f t="shared" si="1"/>
        <v>235.36</v>
      </c>
      <c r="K119" s="1" t="str">
        <f t="shared" si="2"/>
        <v>Februar</v>
      </c>
      <c r="M119" s="1" t="str">
        <f t="shared" si="3"/>
        <v>#N/A</v>
      </c>
      <c r="N119" s="1" t="str">
        <f t="shared" si="4"/>
        <v>#N/A</v>
      </c>
      <c r="O119" s="1" t="str">
        <f t="shared" si="5"/>
        <v>#N/A</v>
      </c>
      <c r="P119" s="1" t="str">
        <f t="shared" si="6"/>
        <v>#N/A</v>
      </c>
      <c r="Q119" s="1" t="str">
        <f t="shared" si="7"/>
        <v>#N/A</v>
      </c>
      <c r="R119" s="1" t="str">
        <f t="shared" si="8"/>
        <v>#N/A</v>
      </c>
      <c r="S119" s="1" t="str">
        <f t="shared" si="9"/>
        <v>#N/A</v>
      </c>
      <c r="T119" s="1" t="str">
        <f t="shared" si="10"/>
        <v>#N/A</v>
      </c>
      <c r="U119" s="1">
        <f t="shared" si="11"/>
        <v>1</v>
      </c>
      <c r="V119" s="8">
        <f t="shared" si="12"/>
        <v>235.36</v>
      </c>
      <c r="W119" s="1" t="str">
        <f t="shared" si="13"/>
        <v>#N/A</v>
      </c>
      <c r="X119" s="1" t="str">
        <f t="shared" si="14"/>
        <v>#N/A</v>
      </c>
    </row>
    <row r="120">
      <c r="A120" s="1" t="str">
        <f>TRIM(CLEAN(PROPER(peakflow_q1_2025_dirty!A120)))</f>
        <v>D-1207</v>
      </c>
      <c r="B120" s="10">
        <f>DATEVALUE(TRIM(CLEAN(peakflow_q1_2025_dirty!B120)))</f>
        <v>45696</v>
      </c>
      <c r="C120" s="1" t="str">
        <f>TRIM(CLEAN(PROPER(peakflow_q1_2025_dirty!C120)))</f>
        <v>Summit Group</v>
      </c>
      <c r="D120" s="1" t="str">
        <f>TRIM(CLEAN(PROPER(peakflow_q1_2025_dirty!D120)))</f>
        <v>Pro Plan</v>
      </c>
      <c r="E120" s="1" t="str">
        <f>TRIM(CLEAN(PROPER(peakflow_q1_2025_dirty!E120)))</f>
        <v>David Kim</v>
      </c>
      <c r="F120" s="1" t="str">
        <f>TRIM(CLEAN(PROPER(peakflow_q1_2025_dirty!F120)))</f>
        <v>Sarah Chen</v>
      </c>
      <c r="G120" s="1" t="str">
        <f>TRIM(CLEAN(PROPER(peakflow_q1_2025_dirty!G120)))</f>
        <v>North America</v>
      </c>
      <c r="H120" s="1">
        <f>VALUE(TRIM((CLEAN(peakflow_q1_2025_dirty!H120))))</f>
        <v>20</v>
      </c>
      <c r="I120" s="8">
        <f>VALUE(SUBSTITUTE(peakflow_q1_2025_dirty!I120,".","," ))</f>
        <v>228.23</v>
      </c>
      <c r="J120" s="8">
        <f t="shared" si="1"/>
        <v>4564.6</v>
      </c>
      <c r="K120" s="1" t="str">
        <f t="shared" si="2"/>
        <v>Februar</v>
      </c>
      <c r="M120" s="1" t="str">
        <f t="shared" si="3"/>
        <v>#N/A</v>
      </c>
      <c r="N120" s="1" t="str">
        <f t="shared" si="4"/>
        <v>#N/A</v>
      </c>
      <c r="O120" s="1" t="str">
        <f t="shared" si="5"/>
        <v>#N/A</v>
      </c>
      <c r="P120" s="1" t="str">
        <f t="shared" si="6"/>
        <v>#N/A</v>
      </c>
      <c r="Q120" s="1" t="str">
        <f t="shared" si="7"/>
        <v>#N/A</v>
      </c>
      <c r="R120" s="1" t="str">
        <f t="shared" si="8"/>
        <v>#N/A</v>
      </c>
      <c r="S120" s="1" t="str">
        <f t="shared" si="9"/>
        <v>#N/A</v>
      </c>
      <c r="T120" s="1" t="str">
        <f t="shared" si="10"/>
        <v>#N/A</v>
      </c>
      <c r="U120" s="1">
        <f t="shared" si="11"/>
        <v>20</v>
      </c>
      <c r="V120" s="8">
        <f t="shared" si="12"/>
        <v>228.23</v>
      </c>
      <c r="W120" s="1" t="str">
        <f t="shared" si="13"/>
        <v>#N/A</v>
      </c>
      <c r="X120" s="1" t="str">
        <f t="shared" si="14"/>
        <v>#N/A</v>
      </c>
    </row>
    <row r="121">
      <c r="A121" s="1" t="str">
        <f>TRIM(CLEAN(PROPER(peakflow_q1_2025_dirty!A121)))</f>
        <v>D-1247</v>
      </c>
      <c r="B121" s="10">
        <f>DATEVALUE(TRIM(CLEAN(peakflow_q1_2025_dirty!B121)))</f>
        <v>45696</v>
      </c>
      <c r="C121" s="1" t="str">
        <f>TRIM(CLEAN(PROPER(peakflow_q1_2025_dirty!C121)))</f>
        <v>Borealis Co</v>
      </c>
      <c r="D121" s="1" t="str">
        <f>TRIM(CLEAN(PROPER(peakflow_q1_2025_dirty!D121)))</f>
        <v>Add-On: Support</v>
      </c>
      <c r="E121" s="1" t="str">
        <f>TRIM(CLEAN(PROPER(peakflow_q1_2025_dirty!E121)))</f>
        <v>Priya Patel</v>
      </c>
      <c r="F121" s="1" t="str">
        <f>TRIM(CLEAN(PROPER(peakflow_q1_2025_dirty!F121)))</f>
        <v>Maya Rodriguez</v>
      </c>
      <c r="G121" s="1" t="str">
        <f>TRIM(CLEAN(UPPER(peakflow_q1_2025_dirty!G121)))</f>
        <v>EMEA</v>
      </c>
      <c r="H121" s="1">
        <f>VALUE(TRIM((CLEAN(peakflow_q1_2025_dirty!H121))))</f>
        <v>20</v>
      </c>
      <c r="I121" s="8">
        <f>VALUE(SUBSTITUTE(peakflow_q1_2025_dirty!I121,".","," ))</f>
        <v>81.9</v>
      </c>
      <c r="J121" s="8">
        <f t="shared" si="1"/>
        <v>1638</v>
      </c>
      <c r="K121" s="1" t="str">
        <f t="shared" si="2"/>
        <v>Februar</v>
      </c>
      <c r="M121" s="1" t="str">
        <f t="shared" si="3"/>
        <v>#N/A</v>
      </c>
      <c r="N121" s="1" t="str">
        <f t="shared" si="4"/>
        <v>#N/A</v>
      </c>
      <c r="O121" s="1">
        <f t="shared" si="5"/>
        <v>20</v>
      </c>
      <c r="P121" s="8">
        <f t="shared" si="6"/>
        <v>81.9</v>
      </c>
      <c r="Q121" s="1" t="str">
        <f t="shared" si="7"/>
        <v>#N/A</v>
      </c>
      <c r="R121" s="1" t="str">
        <f t="shared" si="8"/>
        <v>#N/A</v>
      </c>
      <c r="S121" s="1" t="str">
        <f t="shared" si="9"/>
        <v>#N/A</v>
      </c>
      <c r="T121" s="1" t="str">
        <f t="shared" si="10"/>
        <v>#N/A</v>
      </c>
      <c r="U121" s="1" t="str">
        <f t="shared" si="11"/>
        <v>#N/A</v>
      </c>
      <c r="V121" s="1" t="str">
        <f t="shared" si="12"/>
        <v>#N/A</v>
      </c>
      <c r="W121" s="1" t="str">
        <f t="shared" si="13"/>
        <v>#N/A</v>
      </c>
      <c r="X121" s="1" t="str">
        <f t="shared" si="14"/>
        <v>#N/A</v>
      </c>
    </row>
    <row r="122">
      <c r="A122" s="1" t="str">
        <f>TRIM(CLEAN(PROPER(peakflow_q1_2025_dirty!A122)))</f>
        <v>D-1044</v>
      </c>
      <c r="B122" s="10">
        <f>DATEVALUE(TRIM(CLEAN(peakflow_q1_2025_dirty!B122)))</f>
        <v>45697</v>
      </c>
      <c r="C122" s="1" t="str">
        <f>TRIM(CLEAN(PROPER(peakflow_q1_2025_dirty!C122)))</f>
        <v>Arcadia Inc</v>
      </c>
      <c r="D122" s="1" t="str">
        <f>TRIM(CLEAN(PROPER(peakflow_q1_2025_dirty!D122)))</f>
        <v>Enterprise Plan</v>
      </c>
      <c r="E122" s="1" t="str">
        <f>TRIM(CLEAN(PROPER(peakflow_q1_2025_dirty!E122)))</f>
        <v>Aisha Hassan</v>
      </c>
      <c r="F122" s="1" t="str">
        <f>TRIM(CLEAN(PROPER(peakflow_q1_2025_dirty!F122)))</f>
        <v>Sarah Chen</v>
      </c>
      <c r="G122" s="1" t="str">
        <f>TRIM(CLEAN(UPPER(peakflow_q1_2025_dirty!G122)))</f>
        <v>APAC</v>
      </c>
      <c r="H122" s="1">
        <f>VALUE(TRIM((CLEAN(peakflow_q1_2025_dirty!H122))))</f>
        <v>10</v>
      </c>
      <c r="I122" s="8">
        <f>VALUE(SUBSTITUTE(peakflow_q1_2025_dirty!I122,".","," ))</f>
        <v>1118.07</v>
      </c>
      <c r="J122" s="8">
        <f t="shared" si="1"/>
        <v>11180.7</v>
      </c>
      <c r="K122" s="1" t="str">
        <f t="shared" si="2"/>
        <v>Februar</v>
      </c>
      <c r="M122" s="1" t="str">
        <f t="shared" si="3"/>
        <v>#N/A</v>
      </c>
      <c r="N122" s="1" t="str">
        <f t="shared" si="4"/>
        <v>#N/A</v>
      </c>
      <c r="O122" s="1" t="str">
        <f t="shared" si="5"/>
        <v>#N/A</v>
      </c>
      <c r="P122" s="1" t="str">
        <f t="shared" si="6"/>
        <v>#N/A</v>
      </c>
      <c r="Q122" s="1" t="str">
        <f t="shared" si="7"/>
        <v>#N/A</v>
      </c>
      <c r="R122" s="1" t="str">
        <f t="shared" si="8"/>
        <v>#N/A</v>
      </c>
      <c r="S122" s="1">
        <f t="shared" si="9"/>
        <v>10</v>
      </c>
      <c r="T122" s="8">
        <f t="shared" si="10"/>
        <v>1118.07</v>
      </c>
      <c r="U122" s="1" t="str">
        <f t="shared" si="11"/>
        <v>#N/A</v>
      </c>
      <c r="V122" s="1" t="str">
        <f t="shared" si="12"/>
        <v>#N/A</v>
      </c>
      <c r="W122" s="1" t="str">
        <f t="shared" si="13"/>
        <v>#N/A</v>
      </c>
      <c r="X122" s="1" t="str">
        <f t="shared" si="14"/>
        <v>#N/A</v>
      </c>
    </row>
    <row r="123">
      <c r="A123" s="1" t="str">
        <f>TRIM(CLEAN(PROPER(peakflow_q1_2025_dirty!A123)))</f>
        <v>D-1213</v>
      </c>
      <c r="B123" s="10">
        <f>DATEVALUE(TRIM(CLEAN(peakflow_q1_2025_dirty!B123)))</f>
        <v>45697</v>
      </c>
      <c r="C123" s="1" t="str">
        <f>TRIM(CLEAN(PROPER(peakflow_q1_2025_dirty!C123)))</f>
        <v>Phoenix Co</v>
      </c>
      <c r="D123" s="1" t="str">
        <f>TRIM(CLEAN(PROPER(peakflow_q1_2025_dirty!D123)))</f>
        <v>Business Plan</v>
      </c>
      <c r="E123" s="1" t="str">
        <f>TRIM(CLEAN(PROPER(peakflow_q1_2025_dirty!E123)))</f>
        <v>Tom Wilson</v>
      </c>
      <c r="F123" s="1" t="str">
        <f>TRIM(CLEAN(PROPER(peakflow_q1_2025_dirty!F123)))</f>
        <v>Lukas Becker</v>
      </c>
      <c r="G123" s="1" t="str">
        <f>TRIM(CLEAN(UPPER(peakflow_q1_2025_dirty!G123)))</f>
        <v>LATAM</v>
      </c>
      <c r="H123" s="1">
        <f>VALUE(TRIM((CLEAN(peakflow_q1_2025_dirty!H123))))</f>
        <v>1</v>
      </c>
      <c r="I123" s="8">
        <f>VALUE(SUBSTITUTE(peakflow_q1_2025_dirty!I123,".","," ))</f>
        <v>440.61</v>
      </c>
      <c r="J123" s="8">
        <f t="shared" si="1"/>
        <v>440.61</v>
      </c>
      <c r="K123" s="1" t="str">
        <f t="shared" si="2"/>
        <v>Februar</v>
      </c>
      <c r="M123" s="1" t="str">
        <f t="shared" si="3"/>
        <v>#N/A</v>
      </c>
      <c r="N123" s="1" t="str">
        <f t="shared" si="4"/>
        <v>#N/A</v>
      </c>
      <c r="O123" s="1" t="str">
        <f t="shared" si="5"/>
        <v>#N/A</v>
      </c>
      <c r="P123" s="1" t="str">
        <f t="shared" si="6"/>
        <v>#N/A</v>
      </c>
      <c r="Q123" s="1">
        <f t="shared" si="7"/>
        <v>1</v>
      </c>
      <c r="R123" s="8">
        <f t="shared" si="8"/>
        <v>440.61</v>
      </c>
      <c r="S123" s="1" t="str">
        <f t="shared" si="9"/>
        <v>#N/A</v>
      </c>
      <c r="T123" s="1" t="str">
        <f t="shared" si="10"/>
        <v>#N/A</v>
      </c>
      <c r="U123" s="1" t="str">
        <f t="shared" si="11"/>
        <v>#N/A</v>
      </c>
      <c r="V123" s="1" t="str">
        <f t="shared" si="12"/>
        <v>#N/A</v>
      </c>
      <c r="W123" s="1" t="str">
        <f t="shared" si="13"/>
        <v>#N/A</v>
      </c>
      <c r="X123" s="1" t="str">
        <f t="shared" si="14"/>
        <v>#N/A</v>
      </c>
    </row>
    <row r="124">
      <c r="A124" s="1" t="str">
        <f>TRIM(CLEAN(PROPER(peakflow_q1_2025_dirty!A124)))</f>
        <v>D-1100</v>
      </c>
      <c r="B124" s="10">
        <f>DATEVALUE(TRIM(CLEAN(peakflow_q1_2025_dirty!B124)))</f>
        <v>45698</v>
      </c>
      <c r="C124" s="1" t="str">
        <f>TRIM(CLEAN(PROPER(peakflow_q1_2025_dirty!C124)))</f>
        <v>Northwind Co</v>
      </c>
      <c r="D124" s="1" t="str">
        <f>TRIM(CLEAN(PROPER(peakflow_q1_2025_dirty!D124)))</f>
        <v>Pro Plan</v>
      </c>
      <c r="E124" s="1" t="str">
        <f>TRIM(CLEAN(PROPER(peakflow_q1_2025_dirty!E124)))</f>
        <v>Marcus Johnson</v>
      </c>
      <c r="F124" s="1" t="str">
        <f>TRIM(CLEAN(PROPER(peakflow_q1_2025_dirty!F124)))</f>
        <v>Sarah Chen</v>
      </c>
      <c r="G124" s="1" t="str">
        <f>TRIM(CLEAN(PROPER(peakflow_q1_2025_dirty!G124)))</f>
        <v>North America</v>
      </c>
      <c r="H124" s="1">
        <f>VALUE(TRIM((CLEAN(peakflow_q1_2025_dirty!H124))))</f>
        <v>20</v>
      </c>
      <c r="I124" s="8">
        <f>VALUE(SUBSTITUTE(peakflow_q1_2025_dirty!I124,".","," ))</f>
        <v>205.16</v>
      </c>
      <c r="J124" s="8">
        <f t="shared" si="1"/>
        <v>4103.2</v>
      </c>
      <c r="K124" s="1" t="str">
        <f t="shared" si="2"/>
        <v>Februar</v>
      </c>
      <c r="M124" s="1" t="str">
        <f t="shared" si="3"/>
        <v>#N/A</v>
      </c>
      <c r="N124" s="1" t="str">
        <f t="shared" si="4"/>
        <v>#N/A</v>
      </c>
      <c r="O124" s="1" t="str">
        <f t="shared" si="5"/>
        <v>#N/A</v>
      </c>
      <c r="P124" s="1" t="str">
        <f t="shared" si="6"/>
        <v>#N/A</v>
      </c>
      <c r="Q124" s="1" t="str">
        <f t="shared" si="7"/>
        <v>#N/A</v>
      </c>
      <c r="R124" s="1" t="str">
        <f t="shared" si="8"/>
        <v>#N/A</v>
      </c>
      <c r="S124" s="1" t="str">
        <f t="shared" si="9"/>
        <v>#N/A</v>
      </c>
      <c r="T124" s="1" t="str">
        <f t="shared" si="10"/>
        <v>#N/A</v>
      </c>
      <c r="U124" s="1">
        <f t="shared" si="11"/>
        <v>20</v>
      </c>
      <c r="V124" s="8">
        <f t="shared" si="12"/>
        <v>205.16</v>
      </c>
      <c r="W124" s="1" t="str">
        <f t="shared" si="13"/>
        <v>#N/A</v>
      </c>
      <c r="X124" s="1" t="str">
        <f t="shared" si="14"/>
        <v>#N/A</v>
      </c>
    </row>
    <row r="125">
      <c r="A125" s="1" t="str">
        <f>TRIM(CLEAN(PROPER(peakflow_q1_2025_dirty!A125)))</f>
        <v>D-1129</v>
      </c>
      <c r="B125" s="10">
        <f>DATEVALUE(TRIM(CLEAN(peakflow_q1_2025_dirty!B125)))</f>
        <v>45698</v>
      </c>
      <c r="C125" s="1" t="str">
        <f>TRIM(CLEAN(PROPER(peakflow_q1_2025_dirty!C125)))</f>
        <v>Kinetic Labs</v>
      </c>
      <c r="D125" s="1" t="str">
        <f>TRIM(CLEAN(PROPER(peakflow_q1_2025_dirty!D125)))</f>
        <v>Starter Plan</v>
      </c>
      <c r="E125" s="1" t="str">
        <f>TRIM(CLEAN(PROPER(peakflow_q1_2025_dirty!E125)))</f>
        <v>Carlos Mendez</v>
      </c>
      <c r="F125" s="1" t="str">
        <f>TRIM(CLEAN(PROPER(peakflow_q1_2025_dirty!F125)))</f>
        <v>Maya Rodriguez</v>
      </c>
      <c r="G125" s="1" t="str">
        <f>TRIM(CLEAN(UPPER(peakflow_q1_2025_dirty!G125)))</f>
        <v>EMEA</v>
      </c>
      <c r="H125" s="1">
        <f>VALUE(TRIM((CLEAN(peakflow_q1_2025_dirty!H125))))</f>
        <v>1</v>
      </c>
      <c r="I125" s="8">
        <f>VALUE(SUBSTITUTE(peakflow_q1_2025_dirty!I125,".","," ))</f>
        <v>57.44</v>
      </c>
      <c r="J125" s="8">
        <f t="shared" si="1"/>
        <v>57.44</v>
      </c>
      <c r="K125" s="1" t="str">
        <f t="shared" si="2"/>
        <v>Februar</v>
      </c>
      <c r="M125" s="1" t="str">
        <f t="shared" si="3"/>
        <v>#N/A</v>
      </c>
      <c r="N125" s="1" t="str">
        <f t="shared" si="4"/>
        <v>#N/A</v>
      </c>
      <c r="O125" s="1" t="str">
        <f t="shared" si="5"/>
        <v>#N/A</v>
      </c>
      <c r="P125" s="1" t="str">
        <f t="shared" si="6"/>
        <v>#N/A</v>
      </c>
      <c r="Q125" s="1" t="str">
        <f t="shared" si="7"/>
        <v>#N/A</v>
      </c>
      <c r="R125" s="1" t="str">
        <f t="shared" si="8"/>
        <v>#N/A</v>
      </c>
      <c r="S125" s="1" t="str">
        <f t="shared" si="9"/>
        <v>#N/A</v>
      </c>
      <c r="T125" s="1" t="str">
        <f t="shared" si="10"/>
        <v>#N/A</v>
      </c>
      <c r="U125" s="1" t="str">
        <f t="shared" si="11"/>
        <v>#N/A</v>
      </c>
      <c r="V125" s="1" t="str">
        <f t="shared" si="12"/>
        <v>#N/A</v>
      </c>
      <c r="W125" s="1">
        <f t="shared" si="13"/>
        <v>1</v>
      </c>
      <c r="X125" s="8">
        <f t="shared" si="14"/>
        <v>57.44</v>
      </c>
    </row>
    <row r="126">
      <c r="A126" s="1" t="str">
        <f>TRIM(CLEAN(PROPER(peakflow_q1_2025_dirty!A126)))</f>
        <v>D-1191</v>
      </c>
      <c r="B126" s="10">
        <f>DATEVALUE(TRIM(CLEAN(peakflow_q1_2025_dirty!B126)))</f>
        <v>45699</v>
      </c>
      <c r="C126" s="1" t="str">
        <f>TRIM(CLEAN(PROPER(peakflow_q1_2025_dirty!C126)))</f>
        <v>Lumen Labs</v>
      </c>
      <c r="D126" s="1" t="str">
        <f>TRIM(CLEAN(PROPER(peakflow_q1_2025_dirty!D126)))</f>
        <v>Add-On: Analytics</v>
      </c>
      <c r="E126" s="1" t="str">
        <f>TRIM(CLEAN(PROPER(peakflow_q1_2025_dirty!E126)))</f>
        <v>Carlos Mendez</v>
      </c>
      <c r="F126" s="1" t="str">
        <f>TRIM(CLEAN(PROPER(peakflow_q1_2025_dirty!F126)))</f>
        <v>Maya Rodriguez</v>
      </c>
      <c r="G126" s="1" t="str">
        <f>TRIM(CLEAN(UPPER(peakflow_q1_2025_dirty!G126)))</f>
        <v>LATAM</v>
      </c>
      <c r="H126" s="1">
        <f>VALUE(TRIM((CLEAN(peakflow_q1_2025_dirty!H126))))</f>
        <v>1</v>
      </c>
      <c r="I126" s="8">
        <f>VALUE(SUBSTITUTE(peakflow_q1_2025_dirty!I126,".","," ))</f>
        <v>78.92</v>
      </c>
      <c r="J126" s="8">
        <f t="shared" si="1"/>
        <v>78.92</v>
      </c>
      <c r="K126" s="1" t="str">
        <f t="shared" si="2"/>
        <v>Februar</v>
      </c>
      <c r="M126" s="1">
        <f t="shared" si="3"/>
        <v>1</v>
      </c>
      <c r="N126" s="8">
        <f t="shared" si="4"/>
        <v>78.92</v>
      </c>
      <c r="O126" s="1" t="str">
        <f t="shared" si="5"/>
        <v>#N/A</v>
      </c>
      <c r="P126" s="1" t="str">
        <f t="shared" si="6"/>
        <v>#N/A</v>
      </c>
      <c r="Q126" s="1" t="str">
        <f t="shared" si="7"/>
        <v>#N/A</v>
      </c>
      <c r="R126" s="1" t="str">
        <f t="shared" si="8"/>
        <v>#N/A</v>
      </c>
      <c r="S126" s="1" t="str">
        <f t="shared" si="9"/>
        <v>#N/A</v>
      </c>
      <c r="T126" s="1" t="str">
        <f t="shared" si="10"/>
        <v>#N/A</v>
      </c>
      <c r="U126" s="1" t="str">
        <f t="shared" si="11"/>
        <v>#N/A</v>
      </c>
      <c r="V126" s="1" t="str">
        <f t="shared" si="12"/>
        <v>#N/A</v>
      </c>
      <c r="W126" s="1" t="str">
        <f t="shared" si="13"/>
        <v>#N/A</v>
      </c>
      <c r="X126" s="1" t="str">
        <f t="shared" si="14"/>
        <v>#N/A</v>
      </c>
    </row>
    <row r="127">
      <c r="A127" s="1" t="str">
        <f>TRIM(CLEAN(PROPER(peakflow_q1_2025_dirty!A127)))</f>
        <v>D-1205</v>
      </c>
      <c r="B127" s="10">
        <f>DATEVALUE(TRIM(CLEAN(peakflow_q1_2025_dirty!B127)))</f>
        <v>45699</v>
      </c>
      <c r="C127" s="1" t="str">
        <f>TRIM(CLEAN(PROPER(peakflow_q1_2025_dirty!C127)))</f>
        <v>Orbit Co</v>
      </c>
      <c r="D127" s="1" t="str">
        <f>TRIM(CLEAN(PROPER(peakflow_q1_2025_dirty!D127)))</f>
        <v>Business Plan</v>
      </c>
      <c r="E127" s="1" t="str">
        <f>TRIM(CLEAN(PROPER(peakflow_q1_2025_dirty!E127)))</f>
        <v>James Park</v>
      </c>
      <c r="F127" s="1" t="str">
        <f>TRIM(CLEAN(PROPER(peakflow_q1_2025_dirty!F127)))</f>
        <v>Owen Walsh</v>
      </c>
      <c r="G127" s="1" t="str">
        <f>TRIM(CLEAN(UPPER(peakflow_q1_2025_dirty!G127)))</f>
        <v>EMEA</v>
      </c>
      <c r="H127" s="1">
        <f>VALUE(TRIM((CLEAN(peakflow_q1_2025_dirty!H127))))</f>
        <v>2</v>
      </c>
      <c r="I127" s="8">
        <f>VALUE(SUBSTITUTE(peakflow_q1_2025_dirty!I127,".","," ))</f>
        <v>410.14</v>
      </c>
      <c r="J127" s="8">
        <f t="shared" si="1"/>
        <v>820.28</v>
      </c>
      <c r="K127" s="1" t="str">
        <f t="shared" si="2"/>
        <v>Februar</v>
      </c>
      <c r="M127" s="1" t="str">
        <f t="shared" si="3"/>
        <v>#N/A</v>
      </c>
      <c r="N127" s="1" t="str">
        <f t="shared" si="4"/>
        <v>#N/A</v>
      </c>
      <c r="O127" s="1" t="str">
        <f t="shared" si="5"/>
        <v>#N/A</v>
      </c>
      <c r="P127" s="1" t="str">
        <f t="shared" si="6"/>
        <v>#N/A</v>
      </c>
      <c r="Q127" s="1">
        <f t="shared" si="7"/>
        <v>2</v>
      </c>
      <c r="R127" s="8">
        <f t="shared" si="8"/>
        <v>410.14</v>
      </c>
      <c r="S127" s="1" t="str">
        <f t="shared" si="9"/>
        <v>#N/A</v>
      </c>
      <c r="T127" s="1" t="str">
        <f t="shared" si="10"/>
        <v>#N/A</v>
      </c>
      <c r="U127" s="1" t="str">
        <f t="shared" si="11"/>
        <v>#N/A</v>
      </c>
      <c r="V127" s="1" t="str">
        <f t="shared" si="12"/>
        <v>#N/A</v>
      </c>
      <c r="W127" s="1" t="str">
        <f t="shared" si="13"/>
        <v>#N/A</v>
      </c>
      <c r="X127" s="1" t="str">
        <f t="shared" si="14"/>
        <v>#N/A</v>
      </c>
    </row>
    <row r="128">
      <c r="A128" s="1" t="str">
        <f>TRIM(CLEAN(PROPER(peakflow_q1_2025_dirty!A128)))</f>
        <v>D-1050</v>
      </c>
      <c r="B128" s="10">
        <f>DATEVALUE(TRIM(CLEAN(peakflow_q1_2025_dirty!B128)))</f>
        <v>45700</v>
      </c>
      <c r="C128" s="1" t="str">
        <f>TRIM(CLEAN(PROPER(peakflow_q1_2025_dirty!C128)))</f>
        <v>Atlas Group</v>
      </c>
      <c r="D128" s="1" t="str">
        <f>TRIM(CLEAN(PROPER(peakflow_q1_2025_dirty!D128)))</f>
        <v>Starter Plan</v>
      </c>
      <c r="E128" s="1" t="str">
        <f>TRIM(CLEAN(PROPER(peakflow_q1_2025_dirty!E128)))</f>
        <v>Hannah Lee</v>
      </c>
      <c r="F128" s="1" t="str">
        <f>TRIM(CLEAN(PROPER(peakflow_q1_2025_dirty!F128)))</f>
        <v>Owen Walsh</v>
      </c>
      <c r="G128" s="1" t="str">
        <f>TRIM(CLEAN(PROPER(peakflow_q1_2025_dirty!G128)))</f>
        <v>North America</v>
      </c>
      <c r="H128" s="1">
        <f>VALUE(TRIM((CLEAN(peakflow_q1_2025_dirty!H128))))</f>
        <v>5</v>
      </c>
      <c r="I128" s="8">
        <f>VALUE(SUBSTITUTE(peakflow_q1_2025_dirty!I128,".","," ))</f>
        <v>52.69</v>
      </c>
      <c r="J128" s="8">
        <f t="shared" si="1"/>
        <v>263.45</v>
      </c>
      <c r="K128" s="1" t="str">
        <f t="shared" si="2"/>
        <v>Februar</v>
      </c>
      <c r="M128" s="1" t="str">
        <f t="shared" si="3"/>
        <v>#N/A</v>
      </c>
      <c r="N128" s="1" t="str">
        <f t="shared" si="4"/>
        <v>#N/A</v>
      </c>
      <c r="O128" s="1" t="str">
        <f t="shared" si="5"/>
        <v>#N/A</v>
      </c>
      <c r="P128" s="1" t="str">
        <f t="shared" si="6"/>
        <v>#N/A</v>
      </c>
      <c r="Q128" s="1" t="str">
        <f t="shared" si="7"/>
        <v>#N/A</v>
      </c>
      <c r="R128" s="1" t="str">
        <f t="shared" si="8"/>
        <v>#N/A</v>
      </c>
      <c r="S128" s="1" t="str">
        <f t="shared" si="9"/>
        <v>#N/A</v>
      </c>
      <c r="T128" s="1" t="str">
        <f t="shared" si="10"/>
        <v>#N/A</v>
      </c>
      <c r="U128" s="1" t="str">
        <f t="shared" si="11"/>
        <v>#N/A</v>
      </c>
      <c r="V128" s="1" t="str">
        <f t="shared" si="12"/>
        <v>#N/A</v>
      </c>
      <c r="W128" s="1">
        <f t="shared" si="13"/>
        <v>5</v>
      </c>
      <c r="X128" s="8">
        <f t="shared" si="14"/>
        <v>52.69</v>
      </c>
    </row>
    <row r="129">
      <c r="A129" s="1" t="str">
        <f>TRIM(CLEAN(PROPER(peakflow_q1_2025_dirty!A129)))</f>
        <v>D-1136</v>
      </c>
      <c r="B129" s="10">
        <f>DATEVALUE(TRIM(CLEAN(peakflow_q1_2025_dirty!B129)))</f>
        <v>45701</v>
      </c>
      <c r="C129" s="1" t="str">
        <f>TRIM(CLEAN(PROPER(peakflow_q1_2025_dirty!C129)))</f>
        <v>Verdant Inc</v>
      </c>
      <c r="D129" s="1" t="str">
        <f>TRIM(CLEAN(PROPER(peakflow_q1_2025_dirty!D129)))</f>
        <v>Add-On: Analytics</v>
      </c>
      <c r="E129" s="1" t="str">
        <f>TRIM(CLEAN(PROPER(peakflow_q1_2025_dirty!E129)))</f>
        <v>Hannah Lee</v>
      </c>
      <c r="F129" s="1" t="str">
        <f>TRIM(CLEAN(PROPER(peakflow_q1_2025_dirty!F129)))</f>
        <v>Owen Walsh</v>
      </c>
      <c r="G129" s="1" t="str">
        <f>TRIM(CLEAN(UPPER(peakflow_q1_2025_dirty!G129)))</f>
        <v>LATAM</v>
      </c>
      <c r="H129" s="1">
        <f>VALUE(TRIM((CLEAN(peakflow_q1_2025_dirty!H129))))</f>
        <v>10</v>
      </c>
      <c r="I129" s="8">
        <f>VALUE(SUBSTITUTE(peakflow_q1_2025_dirty!I129,".","," ))</f>
        <v>110.27</v>
      </c>
      <c r="J129" s="8">
        <f t="shared" si="1"/>
        <v>1102.7</v>
      </c>
      <c r="K129" s="1" t="str">
        <f t="shared" si="2"/>
        <v>Februar</v>
      </c>
      <c r="M129" s="1">
        <f t="shared" si="3"/>
        <v>10</v>
      </c>
      <c r="N129" s="8">
        <f t="shared" si="4"/>
        <v>110.27</v>
      </c>
      <c r="O129" s="1" t="str">
        <f t="shared" si="5"/>
        <v>#N/A</v>
      </c>
      <c r="P129" s="1" t="str">
        <f t="shared" si="6"/>
        <v>#N/A</v>
      </c>
      <c r="Q129" s="1" t="str">
        <f t="shared" si="7"/>
        <v>#N/A</v>
      </c>
      <c r="R129" s="1" t="str">
        <f t="shared" si="8"/>
        <v>#N/A</v>
      </c>
      <c r="S129" s="1" t="str">
        <f t="shared" si="9"/>
        <v>#N/A</v>
      </c>
      <c r="T129" s="1" t="str">
        <f t="shared" si="10"/>
        <v>#N/A</v>
      </c>
      <c r="U129" s="1" t="str">
        <f t="shared" si="11"/>
        <v>#N/A</v>
      </c>
      <c r="V129" s="1" t="str">
        <f t="shared" si="12"/>
        <v>#N/A</v>
      </c>
      <c r="W129" s="1" t="str">
        <f t="shared" si="13"/>
        <v>#N/A</v>
      </c>
      <c r="X129" s="1" t="str">
        <f t="shared" si="14"/>
        <v>#N/A</v>
      </c>
    </row>
    <row r="130">
      <c r="A130" s="1" t="str">
        <f>TRIM(CLEAN(PROPER(peakflow_q1_2025_dirty!A130)))</f>
        <v>D-1099</v>
      </c>
      <c r="B130" s="10">
        <f>DATEVALUE(TRIM(CLEAN(peakflow_q1_2025_dirty!B130)))</f>
        <v>45703</v>
      </c>
      <c r="C130" s="1" t="str">
        <f>TRIM(CLEAN(PROPER(peakflow_q1_2025_dirty!C130)))</f>
        <v>Driftwood Co</v>
      </c>
      <c r="D130" s="1" t="str">
        <f>TRIM(CLEAN(PROPER(peakflow_q1_2025_dirty!D130)))</f>
        <v>Pro Plan</v>
      </c>
      <c r="E130" s="1" t="str">
        <f>TRIM(CLEAN(PROPER(peakflow_q1_2025_dirty!E130)))</f>
        <v>Sophie Laurent</v>
      </c>
      <c r="F130" s="1" t="str">
        <f>TRIM(CLEAN(PROPER(peakflow_q1_2025_dirty!F130)))</f>
        <v>Maya Rodriguez</v>
      </c>
      <c r="G130" s="1" t="str">
        <f>TRIM(CLEAN(UPPER(peakflow_q1_2025_dirty!G130)))</f>
        <v>LATAM</v>
      </c>
      <c r="H130" s="1">
        <f>VALUE(TRIM((CLEAN(peakflow_q1_2025_dirty!H130))))</f>
        <v>1</v>
      </c>
      <c r="I130" s="8">
        <f>VALUE(SUBSTITUTE(peakflow_q1_2025_dirty!I130,".","," ))</f>
        <v>287.77</v>
      </c>
      <c r="J130" s="8">
        <f t="shared" si="1"/>
        <v>287.77</v>
      </c>
      <c r="K130" s="1" t="str">
        <f t="shared" si="2"/>
        <v>Februar</v>
      </c>
      <c r="M130" s="1" t="str">
        <f t="shared" si="3"/>
        <v>#N/A</v>
      </c>
      <c r="N130" s="1" t="str">
        <f t="shared" si="4"/>
        <v>#N/A</v>
      </c>
      <c r="O130" s="1" t="str">
        <f t="shared" si="5"/>
        <v>#N/A</v>
      </c>
      <c r="P130" s="1" t="str">
        <f t="shared" si="6"/>
        <v>#N/A</v>
      </c>
      <c r="Q130" s="1" t="str">
        <f t="shared" si="7"/>
        <v>#N/A</v>
      </c>
      <c r="R130" s="1" t="str">
        <f t="shared" si="8"/>
        <v>#N/A</v>
      </c>
      <c r="S130" s="1" t="str">
        <f t="shared" si="9"/>
        <v>#N/A</v>
      </c>
      <c r="T130" s="1" t="str">
        <f t="shared" si="10"/>
        <v>#N/A</v>
      </c>
      <c r="U130" s="1">
        <f t="shared" si="11"/>
        <v>1</v>
      </c>
      <c r="V130" s="8">
        <f t="shared" si="12"/>
        <v>287.77</v>
      </c>
      <c r="W130" s="1" t="str">
        <f t="shared" si="13"/>
        <v>#N/A</v>
      </c>
      <c r="X130" s="1" t="str">
        <f t="shared" si="14"/>
        <v>#N/A</v>
      </c>
    </row>
    <row r="131">
      <c r="A131" s="1" t="str">
        <f>TRIM(CLEAN(PROPER(peakflow_q1_2025_dirty!A131)))</f>
        <v>D-1208</v>
      </c>
      <c r="B131" s="10">
        <f>DATEVALUE(TRIM(CLEAN(peakflow_q1_2025_dirty!B131)))</f>
        <v>45704</v>
      </c>
      <c r="C131" s="1" t="str">
        <f>TRIM(CLEAN(PROPER(peakflow_q1_2025_dirty!C131)))</f>
        <v>Iris Co</v>
      </c>
      <c r="D131" s="1" t="str">
        <f>TRIM(CLEAN(PROPER(peakflow_q1_2025_dirty!D131)))</f>
        <v>Add-On: Analytics</v>
      </c>
      <c r="E131" s="1" t="str">
        <f>TRIM(CLEAN(PROPER(peakflow_q1_2025_dirty!E131)))</f>
        <v>Sophie Laurent</v>
      </c>
      <c r="F131" s="1" t="str">
        <f>TRIM(CLEAN(PROPER(peakflow_q1_2025_dirty!F131)))</f>
        <v>Maya Rodriguez</v>
      </c>
      <c r="G131" s="1" t="str">
        <f>TRIM(CLEAN(PROPER(peakflow_q1_2025_dirty!G131)))</f>
        <v>North America</v>
      </c>
      <c r="H131" s="1">
        <f>VALUE(TRIM((CLEAN(peakflow_q1_2025_dirty!H131))))</f>
        <v>1</v>
      </c>
      <c r="I131" s="8">
        <f>VALUE(SUBSTITUTE(peakflow_q1_2025_dirty!I131,".","," ))</f>
        <v>104.56</v>
      </c>
      <c r="J131" s="8">
        <f t="shared" si="1"/>
        <v>104.56</v>
      </c>
      <c r="K131" s="1" t="str">
        <f t="shared" si="2"/>
        <v>Februar</v>
      </c>
      <c r="M131" s="1">
        <f t="shared" si="3"/>
        <v>1</v>
      </c>
      <c r="N131" s="8">
        <f t="shared" si="4"/>
        <v>104.56</v>
      </c>
      <c r="O131" s="1" t="str">
        <f t="shared" si="5"/>
        <v>#N/A</v>
      </c>
      <c r="P131" s="1" t="str">
        <f t="shared" si="6"/>
        <v>#N/A</v>
      </c>
      <c r="Q131" s="1" t="str">
        <f t="shared" si="7"/>
        <v>#N/A</v>
      </c>
      <c r="R131" s="1" t="str">
        <f t="shared" si="8"/>
        <v>#N/A</v>
      </c>
      <c r="S131" s="1" t="str">
        <f t="shared" si="9"/>
        <v>#N/A</v>
      </c>
      <c r="T131" s="1" t="str">
        <f t="shared" si="10"/>
        <v>#N/A</v>
      </c>
      <c r="U131" s="1" t="str">
        <f t="shared" si="11"/>
        <v>#N/A</v>
      </c>
      <c r="V131" s="1" t="str">
        <f t="shared" si="12"/>
        <v>#N/A</v>
      </c>
      <c r="W131" s="1" t="str">
        <f t="shared" si="13"/>
        <v>#N/A</v>
      </c>
      <c r="X131" s="1" t="str">
        <f t="shared" si="14"/>
        <v>#N/A</v>
      </c>
    </row>
    <row r="132">
      <c r="A132" s="1" t="str">
        <f>TRIM(CLEAN(PROPER(peakflow_q1_2025_dirty!A132)))</f>
        <v>D-1017</v>
      </c>
      <c r="B132" s="10">
        <f>DATEVALUE(TRIM(CLEAN(peakflow_q1_2025_dirty!B132)))</f>
        <v>45705</v>
      </c>
      <c r="C132" s="1" t="str">
        <f>TRIM(CLEAN(PROPER(peakflow_q1_2025_dirty!C132)))</f>
        <v>Nova Inc</v>
      </c>
      <c r="D132" s="1" t="str">
        <f>TRIM(CLEAN(PROPER(peakflow_q1_2025_dirty!D132)))</f>
        <v>Enterprise Plan</v>
      </c>
      <c r="E132" s="1" t="str">
        <f>TRIM(CLEAN(PROPER(peakflow_q1_2025_dirty!E132)))</f>
        <v>Priya Patel</v>
      </c>
      <c r="F132" s="1" t="str">
        <f>TRIM(CLEAN(PROPER(peakflow_q1_2025_dirty!F132)))</f>
        <v>Maya Rodriguez</v>
      </c>
      <c r="G132" s="1" t="str">
        <f>TRIM(CLEAN(UPPER(peakflow_q1_2025_dirty!G132)))</f>
        <v>LATAM</v>
      </c>
      <c r="H132" s="1">
        <f>VALUE(TRIM((CLEAN(peakflow_q1_2025_dirty!H132))))</f>
        <v>1</v>
      </c>
      <c r="I132" s="8">
        <f>VALUE(SUBSTITUTE(peakflow_q1_2025_dirty!I132,".","," ))</f>
        <v>1339.78</v>
      </c>
      <c r="J132" s="8">
        <f t="shared" si="1"/>
        <v>1339.78</v>
      </c>
      <c r="K132" s="1" t="str">
        <f t="shared" si="2"/>
        <v>Februar</v>
      </c>
      <c r="M132" s="1" t="str">
        <f t="shared" si="3"/>
        <v>#N/A</v>
      </c>
      <c r="N132" s="1" t="str">
        <f t="shared" si="4"/>
        <v>#N/A</v>
      </c>
      <c r="O132" s="1" t="str">
        <f t="shared" si="5"/>
        <v>#N/A</v>
      </c>
      <c r="P132" s="1" t="str">
        <f t="shared" si="6"/>
        <v>#N/A</v>
      </c>
      <c r="Q132" s="1" t="str">
        <f t="shared" si="7"/>
        <v>#N/A</v>
      </c>
      <c r="R132" s="1" t="str">
        <f t="shared" si="8"/>
        <v>#N/A</v>
      </c>
      <c r="S132" s="1">
        <f t="shared" si="9"/>
        <v>1</v>
      </c>
      <c r="T132" s="8">
        <f t="shared" si="10"/>
        <v>1339.78</v>
      </c>
      <c r="U132" s="1" t="str">
        <f t="shared" si="11"/>
        <v>#N/A</v>
      </c>
      <c r="V132" s="1" t="str">
        <f t="shared" si="12"/>
        <v>#N/A</v>
      </c>
      <c r="W132" s="1" t="str">
        <f t="shared" si="13"/>
        <v>#N/A</v>
      </c>
      <c r="X132" s="1" t="str">
        <f t="shared" si="14"/>
        <v>#N/A</v>
      </c>
    </row>
    <row r="133">
      <c r="A133" s="1" t="str">
        <f>TRIM(CLEAN(PROPER(peakflow_q1_2025_dirty!A133)))</f>
        <v>D-1042</v>
      </c>
      <c r="B133" s="10">
        <f>DATEVALUE(TRIM(CLEAN(peakflow_q1_2025_dirty!B133)))</f>
        <v>45706</v>
      </c>
      <c r="C133" s="1" t="str">
        <f>TRIM(CLEAN(PROPER(peakflow_q1_2025_dirty!C133)))</f>
        <v>Helix Systems</v>
      </c>
      <c r="D133" s="1" t="str">
        <f>TRIM(CLEAN(PROPER(peakflow_q1_2025_dirty!D133)))</f>
        <v>Starter Plan</v>
      </c>
      <c r="E133" s="1" t="str">
        <f>TRIM(CLEAN(PROPER(peakflow_q1_2025_dirty!E133)))</f>
        <v>Raj Sharma</v>
      </c>
      <c r="F133" s="1" t="str">
        <f>TRIM(CLEAN(PROPER(peakflow_q1_2025_dirty!F133)))</f>
        <v>Owen Walsh</v>
      </c>
      <c r="G133" s="1" t="str">
        <f>TRIM(CLEAN(UPPER(peakflow_q1_2025_dirty!G133)))</f>
        <v>EMEA</v>
      </c>
      <c r="H133" s="1">
        <f>VALUE(TRIM((CLEAN(peakflow_q1_2025_dirty!H133))))</f>
        <v>1</v>
      </c>
      <c r="I133" s="8">
        <f>VALUE(SUBSTITUTE(peakflow_q1_2025_dirty!I133,".","," ))</f>
        <v>60.51</v>
      </c>
      <c r="J133" s="8">
        <f t="shared" si="1"/>
        <v>60.51</v>
      </c>
      <c r="K133" s="1" t="str">
        <f t="shared" si="2"/>
        <v>Februar</v>
      </c>
      <c r="M133" s="1" t="str">
        <f t="shared" si="3"/>
        <v>#N/A</v>
      </c>
      <c r="N133" s="1" t="str">
        <f t="shared" si="4"/>
        <v>#N/A</v>
      </c>
      <c r="O133" s="1" t="str">
        <f t="shared" si="5"/>
        <v>#N/A</v>
      </c>
      <c r="P133" s="1" t="str">
        <f t="shared" si="6"/>
        <v>#N/A</v>
      </c>
      <c r="Q133" s="1" t="str">
        <f t="shared" si="7"/>
        <v>#N/A</v>
      </c>
      <c r="R133" s="1" t="str">
        <f t="shared" si="8"/>
        <v>#N/A</v>
      </c>
      <c r="S133" s="1" t="str">
        <f t="shared" si="9"/>
        <v>#N/A</v>
      </c>
      <c r="T133" s="1" t="str">
        <f t="shared" si="10"/>
        <v>#N/A</v>
      </c>
      <c r="U133" s="1" t="str">
        <f t="shared" si="11"/>
        <v>#N/A</v>
      </c>
      <c r="V133" s="1" t="str">
        <f t="shared" si="12"/>
        <v>#N/A</v>
      </c>
      <c r="W133" s="1">
        <f t="shared" si="13"/>
        <v>1</v>
      </c>
      <c r="X133" s="8">
        <f t="shared" si="14"/>
        <v>60.51</v>
      </c>
    </row>
    <row r="134">
      <c r="A134" s="1" t="str">
        <f>TRIM(CLEAN(PROPER(peakflow_q1_2025_dirty!A134)))</f>
        <v>D-1045</v>
      </c>
      <c r="B134" s="10">
        <f>DATEVALUE(TRIM(CLEAN(peakflow_q1_2025_dirty!B134)))</f>
        <v>45706</v>
      </c>
      <c r="C134" s="1" t="str">
        <f>TRIM(CLEAN(PROPER(peakflow_q1_2025_dirty!C134)))</f>
        <v>Meridian Group</v>
      </c>
      <c r="D134" s="1" t="str">
        <f>TRIM(CLEAN(PROPER(peakflow_q1_2025_dirty!D134)))</f>
        <v>Starter Plan</v>
      </c>
      <c r="E134" s="1" t="str">
        <f>TRIM(CLEAN(PROPER(peakflow_q1_2025_dirty!E134)))</f>
        <v>Aisha Hassan</v>
      </c>
      <c r="F134" s="1" t="str">
        <f>TRIM(CLEAN(PROPER(peakflow_q1_2025_dirty!F134)))</f>
        <v>Sarah Chen</v>
      </c>
      <c r="G134" s="1" t="str">
        <f>TRIM(CLEAN(PROPER(peakflow_q1_2025_dirty!G134)))</f>
        <v>North America</v>
      </c>
      <c r="H134" s="1">
        <f>VALUE(TRIM((CLEAN(peakflow_q1_2025_dirty!H134))))</f>
        <v>5</v>
      </c>
      <c r="I134" s="8">
        <f>VALUE(SUBSTITUTE(peakflow_q1_2025_dirty!I134,".","," ))</f>
        <v>40.5</v>
      </c>
      <c r="J134" s="8">
        <f t="shared" si="1"/>
        <v>202.5</v>
      </c>
      <c r="K134" s="1" t="str">
        <f t="shared" si="2"/>
        <v>Februar</v>
      </c>
      <c r="M134" s="1" t="str">
        <f t="shared" si="3"/>
        <v>#N/A</v>
      </c>
      <c r="N134" s="1" t="str">
        <f t="shared" si="4"/>
        <v>#N/A</v>
      </c>
      <c r="O134" s="1" t="str">
        <f t="shared" si="5"/>
        <v>#N/A</v>
      </c>
      <c r="P134" s="1" t="str">
        <f t="shared" si="6"/>
        <v>#N/A</v>
      </c>
      <c r="Q134" s="1" t="str">
        <f t="shared" si="7"/>
        <v>#N/A</v>
      </c>
      <c r="R134" s="1" t="str">
        <f t="shared" si="8"/>
        <v>#N/A</v>
      </c>
      <c r="S134" s="1" t="str">
        <f t="shared" si="9"/>
        <v>#N/A</v>
      </c>
      <c r="T134" s="1" t="str">
        <f t="shared" si="10"/>
        <v>#N/A</v>
      </c>
      <c r="U134" s="1" t="str">
        <f t="shared" si="11"/>
        <v>#N/A</v>
      </c>
      <c r="V134" s="1" t="str">
        <f t="shared" si="12"/>
        <v>#N/A</v>
      </c>
      <c r="W134" s="1">
        <f t="shared" si="13"/>
        <v>5</v>
      </c>
      <c r="X134" s="8">
        <f t="shared" si="14"/>
        <v>40.5</v>
      </c>
    </row>
    <row r="135">
      <c r="A135" s="1" t="str">
        <f>TRIM(CLEAN(PROPER(peakflow_q1_2025_dirty!A135)))</f>
        <v>D-1195</v>
      </c>
      <c r="B135" s="10">
        <f>DATEVALUE(TRIM(CLEAN(peakflow_q1_2025_dirty!B135)))</f>
        <v>45706</v>
      </c>
      <c r="C135" s="1" t="str">
        <f>TRIM(CLEAN(PROPER(peakflow_q1_2025_dirty!C135)))</f>
        <v>Atlas Group</v>
      </c>
      <c r="D135" s="1" t="str">
        <f>TRIM(CLEAN(PROPER(peakflow_q1_2025_dirty!D135)))</f>
        <v>Pro Plan</v>
      </c>
      <c r="E135" s="1" t="str">
        <f>TRIM(CLEAN(PROPER(peakflow_q1_2025_dirty!E135)))</f>
        <v>Raj Sharma</v>
      </c>
      <c r="F135" s="1" t="str">
        <f>TRIM(CLEAN(PROPER(peakflow_q1_2025_dirty!F135)))</f>
        <v>Owen Walsh</v>
      </c>
      <c r="G135" s="1" t="str">
        <f>TRIM(CLEAN(PROPER(peakflow_q1_2025_dirty!G135)))</f>
        <v>North America</v>
      </c>
      <c r="H135" s="1">
        <f>VALUE(TRIM((CLEAN(peakflow_q1_2025_dirty!H135))))</f>
        <v>20</v>
      </c>
      <c r="I135" s="8">
        <f>VALUE(SUBSTITUTE(peakflow_q1_2025_dirty!I135,".","," ))</f>
        <v>288.1</v>
      </c>
      <c r="J135" s="8">
        <f t="shared" si="1"/>
        <v>5762</v>
      </c>
      <c r="K135" s="1" t="str">
        <f t="shared" si="2"/>
        <v>Februar</v>
      </c>
      <c r="M135" s="1" t="str">
        <f t="shared" si="3"/>
        <v>#N/A</v>
      </c>
      <c r="N135" s="1" t="str">
        <f t="shared" si="4"/>
        <v>#N/A</v>
      </c>
      <c r="O135" s="1" t="str">
        <f t="shared" si="5"/>
        <v>#N/A</v>
      </c>
      <c r="P135" s="1" t="str">
        <f t="shared" si="6"/>
        <v>#N/A</v>
      </c>
      <c r="Q135" s="1" t="str">
        <f t="shared" si="7"/>
        <v>#N/A</v>
      </c>
      <c r="R135" s="1" t="str">
        <f t="shared" si="8"/>
        <v>#N/A</v>
      </c>
      <c r="S135" s="1" t="str">
        <f t="shared" si="9"/>
        <v>#N/A</v>
      </c>
      <c r="T135" s="1" t="str">
        <f t="shared" si="10"/>
        <v>#N/A</v>
      </c>
      <c r="U135" s="1">
        <f t="shared" si="11"/>
        <v>20</v>
      </c>
      <c r="V135" s="8">
        <f t="shared" si="12"/>
        <v>288.1</v>
      </c>
      <c r="W135" s="1" t="str">
        <f t="shared" si="13"/>
        <v>#N/A</v>
      </c>
      <c r="X135" s="1" t="str">
        <f t="shared" si="14"/>
        <v>#N/A</v>
      </c>
    </row>
    <row r="136">
      <c r="A136" s="1" t="str">
        <f>TRIM(CLEAN(PROPER(peakflow_q1_2025_dirty!A136)))</f>
        <v>D-1203</v>
      </c>
      <c r="B136" s="10">
        <f>DATEVALUE(TRIM(CLEAN(peakflow_q1_2025_dirty!B136)))</f>
        <v>45706</v>
      </c>
      <c r="C136" s="1" t="str">
        <f>TRIM(CLEAN(PROPER(peakflow_q1_2025_dirty!C136)))</f>
        <v>Pacific Co</v>
      </c>
      <c r="D136" s="1" t="str">
        <f>TRIM(CLEAN(PROPER(peakflow_q1_2025_dirty!D136)))</f>
        <v>Business Plan</v>
      </c>
      <c r="E136" s="1" t="str">
        <f>TRIM(CLEAN(PROPER(peakflow_q1_2025_dirty!E136)))</f>
        <v>Marcus Johnson</v>
      </c>
      <c r="F136" s="1" t="str">
        <f>TRIM(CLEAN(PROPER(peakflow_q1_2025_dirty!F136)))</f>
        <v>Sarah Chen</v>
      </c>
      <c r="G136" s="1" t="str">
        <f>TRIM(CLEAN(UPPER(peakflow_q1_2025_dirty!G136)))</f>
        <v>EMEA</v>
      </c>
      <c r="H136" s="1">
        <f>VALUE(TRIM((CLEAN(peakflow_q1_2025_dirty!H136))))</f>
        <v>1</v>
      </c>
      <c r="I136" s="8">
        <f>VALUE(SUBSTITUTE(peakflow_q1_2025_dirty!I136,".","," ))</f>
        <v>415.25</v>
      </c>
      <c r="J136" s="8">
        <f t="shared" si="1"/>
        <v>415.25</v>
      </c>
      <c r="K136" s="1" t="str">
        <f t="shared" si="2"/>
        <v>Februar</v>
      </c>
      <c r="M136" s="1" t="str">
        <f t="shared" si="3"/>
        <v>#N/A</v>
      </c>
      <c r="N136" s="1" t="str">
        <f t="shared" si="4"/>
        <v>#N/A</v>
      </c>
      <c r="O136" s="1" t="str">
        <f t="shared" si="5"/>
        <v>#N/A</v>
      </c>
      <c r="P136" s="1" t="str">
        <f t="shared" si="6"/>
        <v>#N/A</v>
      </c>
      <c r="Q136" s="1">
        <f t="shared" si="7"/>
        <v>1</v>
      </c>
      <c r="R136" s="8">
        <f t="shared" si="8"/>
        <v>415.25</v>
      </c>
      <c r="S136" s="1" t="str">
        <f t="shared" si="9"/>
        <v>#N/A</v>
      </c>
      <c r="T136" s="1" t="str">
        <f t="shared" si="10"/>
        <v>#N/A</v>
      </c>
      <c r="U136" s="1" t="str">
        <f t="shared" si="11"/>
        <v>#N/A</v>
      </c>
      <c r="V136" s="1" t="str">
        <f t="shared" si="12"/>
        <v>#N/A</v>
      </c>
      <c r="W136" s="1" t="str">
        <f t="shared" si="13"/>
        <v>#N/A</v>
      </c>
      <c r="X136" s="1" t="str">
        <f t="shared" si="14"/>
        <v>#N/A</v>
      </c>
    </row>
    <row r="137">
      <c r="A137" s="1" t="str">
        <f>TRIM(CLEAN(PROPER(peakflow_q1_2025_dirty!A137)))</f>
        <v>D-1239</v>
      </c>
      <c r="B137" s="10">
        <f>DATEVALUE(TRIM(CLEAN(peakflow_q1_2025_dirty!B137)))</f>
        <v>45706</v>
      </c>
      <c r="C137" s="1" t="str">
        <f>TRIM(CLEAN(PROPER(peakflow_q1_2025_dirty!C137)))</f>
        <v>Vertex Inc</v>
      </c>
      <c r="D137" s="1" t="str">
        <f>TRIM(CLEAN(PROPER(peakflow_q1_2025_dirty!D137)))</f>
        <v>Starter Plan</v>
      </c>
      <c r="E137" s="1" t="str">
        <f>TRIM(CLEAN(PROPER(peakflow_q1_2025_dirty!E137)))</f>
        <v>James Park</v>
      </c>
      <c r="F137" s="1" t="str">
        <f>TRIM(CLEAN(PROPER(peakflow_q1_2025_dirty!F137)))</f>
        <v>Owen Walsh</v>
      </c>
      <c r="G137" s="1" t="str">
        <f>TRIM(CLEAN(UPPER(peakflow_q1_2025_dirty!G137)))</f>
        <v>APAC</v>
      </c>
      <c r="H137" s="1">
        <f>VALUE(TRIM((CLEAN(peakflow_q1_2025_dirty!H137))))</f>
        <v>2</v>
      </c>
      <c r="I137" s="8">
        <f>VALUE(SUBSTITUTE(peakflow_q1_2025_dirty!I137,".","," ))</f>
        <v>42.09</v>
      </c>
      <c r="J137" s="8">
        <f t="shared" si="1"/>
        <v>84.18</v>
      </c>
      <c r="K137" s="1" t="str">
        <f t="shared" si="2"/>
        <v>Februar</v>
      </c>
      <c r="M137" s="1" t="str">
        <f t="shared" si="3"/>
        <v>#N/A</v>
      </c>
      <c r="N137" s="1" t="str">
        <f t="shared" si="4"/>
        <v>#N/A</v>
      </c>
      <c r="O137" s="1" t="str">
        <f t="shared" si="5"/>
        <v>#N/A</v>
      </c>
      <c r="P137" s="1" t="str">
        <f t="shared" si="6"/>
        <v>#N/A</v>
      </c>
      <c r="Q137" s="1" t="str">
        <f t="shared" si="7"/>
        <v>#N/A</v>
      </c>
      <c r="R137" s="1" t="str">
        <f t="shared" si="8"/>
        <v>#N/A</v>
      </c>
      <c r="S137" s="1" t="str">
        <f t="shared" si="9"/>
        <v>#N/A</v>
      </c>
      <c r="T137" s="1" t="str">
        <f t="shared" si="10"/>
        <v>#N/A</v>
      </c>
      <c r="U137" s="1" t="str">
        <f t="shared" si="11"/>
        <v>#N/A</v>
      </c>
      <c r="V137" s="1" t="str">
        <f t="shared" si="12"/>
        <v>#N/A</v>
      </c>
      <c r="W137" s="1">
        <f t="shared" si="13"/>
        <v>2</v>
      </c>
      <c r="X137" s="8">
        <f t="shared" si="14"/>
        <v>42.09</v>
      </c>
    </row>
    <row r="138">
      <c r="A138" s="1" t="str">
        <f>TRIM(CLEAN(PROPER(peakflow_q1_2025_dirty!A138)))</f>
        <v>D-1154</v>
      </c>
      <c r="B138" s="10">
        <f>DATEVALUE(TRIM(CLEAN(peakflow_q1_2025_dirty!B138)))</f>
        <v>45707</v>
      </c>
      <c r="C138" s="1" t="str">
        <f>TRIM(CLEAN(PROPER(peakflow_q1_2025_dirty!C138)))</f>
        <v>Citadel Group</v>
      </c>
      <c r="D138" s="1" t="str">
        <f>TRIM(CLEAN(PROPER(peakflow_q1_2025_dirty!D138)))</f>
        <v>Enterprise Plan</v>
      </c>
      <c r="E138" s="1" t="str">
        <f>TRIM(CLEAN(PROPER(peakflow_q1_2025_dirty!E138)))</f>
        <v>Marcus Johnson</v>
      </c>
      <c r="F138" s="1" t="str">
        <f>TRIM(CLEAN(PROPER(peakflow_q1_2025_dirty!F138)))</f>
        <v>Sarah Chen</v>
      </c>
      <c r="G138" s="1" t="str">
        <f>TRIM(CLEAN(UPPER(peakflow_q1_2025_dirty!G138)))</f>
        <v>APAC</v>
      </c>
      <c r="H138" s="1">
        <f>VALUE(TRIM((CLEAN(peakflow_q1_2025_dirty!H138))))</f>
        <v>10</v>
      </c>
      <c r="I138" s="8">
        <f>VALUE(SUBSTITUTE(peakflow_q1_2025_dirty!I138,".","," ))</f>
        <v>987.06</v>
      </c>
      <c r="J138" s="8">
        <f t="shared" si="1"/>
        <v>9870.6</v>
      </c>
      <c r="K138" s="1" t="str">
        <f t="shared" si="2"/>
        <v>Februar</v>
      </c>
      <c r="M138" s="1" t="str">
        <f t="shared" si="3"/>
        <v>#N/A</v>
      </c>
      <c r="N138" s="1" t="str">
        <f t="shared" si="4"/>
        <v>#N/A</v>
      </c>
      <c r="O138" s="1" t="str">
        <f t="shared" si="5"/>
        <v>#N/A</v>
      </c>
      <c r="P138" s="1" t="str">
        <f t="shared" si="6"/>
        <v>#N/A</v>
      </c>
      <c r="Q138" s="1" t="str">
        <f t="shared" si="7"/>
        <v>#N/A</v>
      </c>
      <c r="R138" s="1" t="str">
        <f t="shared" si="8"/>
        <v>#N/A</v>
      </c>
      <c r="S138" s="1">
        <f t="shared" si="9"/>
        <v>10</v>
      </c>
      <c r="T138" s="8">
        <f t="shared" si="10"/>
        <v>987.06</v>
      </c>
      <c r="U138" s="1" t="str">
        <f t="shared" si="11"/>
        <v>#N/A</v>
      </c>
      <c r="V138" s="1" t="str">
        <f t="shared" si="12"/>
        <v>#N/A</v>
      </c>
      <c r="W138" s="1" t="str">
        <f t="shared" si="13"/>
        <v>#N/A</v>
      </c>
      <c r="X138" s="1" t="str">
        <f t="shared" si="14"/>
        <v>#N/A</v>
      </c>
    </row>
    <row r="139">
      <c r="A139" s="1" t="str">
        <f>TRIM(CLEAN(PROPER(peakflow_q1_2025_dirty!A139)))</f>
        <v>D-1143</v>
      </c>
      <c r="B139" s="10">
        <f>DATEVALUE(TRIM(CLEAN(peakflow_q1_2025_dirty!B139)))</f>
        <v>45708</v>
      </c>
      <c r="C139" s="1" t="str">
        <f>TRIM(CLEAN(PROPER(peakflow_q1_2025_dirty!C139)))</f>
        <v>Lumen Labs</v>
      </c>
      <c r="D139" s="1" t="str">
        <f>TRIM(CLEAN(PROPER(peakflow_q1_2025_dirty!D139)))</f>
        <v>Starter Plan</v>
      </c>
      <c r="E139" s="1" t="str">
        <f>TRIM(CLEAN(PROPER(peakflow_q1_2025_dirty!E139)))</f>
        <v>Raj Sharma</v>
      </c>
      <c r="F139" s="1" t="str">
        <f>TRIM(CLEAN(PROPER(peakflow_q1_2025_dirty!F139)))</f>
        <v>Owen Walsh</v>
      </c>
      <c r="G139" s="1" t="str">
        <f>TRIM(CLEAN(UPPER(peakflow_q1_2025_dirty!G139)))</f>
        <v>EMEA</v>
      </c>
      <c r="H139" s="1">
        <f>VALUE(TRIM((CLEAN(peakflow_q1_2025_dirty!H139))))</f>
        <v>2</v>
      </c>
      <c r="I139" s="8">
        <f>VALUE(SUBSTITUTE(peakflow_q1_2025_dirty!I139,".","," ))</f>
        <v>72.12</v>
      </c>
      <c r="J139" s="8">
        <f t="shared" si="1"/>
        <v>144.24</v>
      </c>
      <c r="K139" s="1" t="str">
        <f t="shared" si="2"/>
        <v>Februar</v>
      </c>
      <c r="M139" s="1" t="str">
        <f t="shared" si="3"/>
        <v>#N/A</v>
      </c>
      <c r="N139" s="1" t="str">
        <f t="shared" si="4"/>
        <v>#N/A</v>
      </c>
      <c r="O139" s="1" t="str">
        <f t="shared" si="5"/>
        <v>#N/A</v>
      </c>
      <c r="P139" s="1" t="str">
        <f t="shared" si="6"/>
        <v>#N/A</v>
      </c>
      <c r="Q139" s="1" t="str">
        <f t="shared" si="7"/>
        <v>#N/A</v>
      </c>
      <c r="R139" s="1" t="str">
        <f t="shared" si="8"/>
        <v>#N/A</v>
      </c>
      <c r="S139" s="1" t="str">
        <f t="shared" si="9"/>
        <v>#N/A</v>
      </c>
      <c r="T139" s="1" t="str">
        <f t="shared" si="10"/>
        <v>#N/A</v>
      </c>
      <c r="U139" s="1" t="str">
        <f t="shared" si="11"/>
        <v>#N/A</v>
      </c>
      <c r="V139" s="1" t="str">
        <f t="shared" si="12"/>
        <v>#N/A</v>
      </c>
      <c r="W139" s="1">
        <f t="shared" si="13"/>
        <v>2</v>
      </c>
      <c r="X139" s="8">
        <f t="shared" si="14"/>
        <v>72.12</v>
      </c>
    </row>
    <row r="140">
      <c r="A140" s="1" t="str">
        <f>TRIM(CLEAN(PROPER(peakflow_q1_2025_dirty!A140)))</f>
        <v>D-1214</v>
      </c>
      <c r="B140" s="10">
        <f>DATEVALUE(TRIM(CLEAN(peakflow_q1_2025_dirty!B140)))</f>
        <v>45708</v>
      </c>
      <c r="C140" s="1" t="str">
        <f>TRIM(CLEAN(PROPER(peakflow_q1_2025_dirty!C140)))</f>
        <v>Pacific Co</v>
      </c>
      <c r="D140" s="1" t="str">
        <f>TRIM(CLEAN(PROPER(peakflow_q1_2025_dirty!D140)))</f>
        <v>Add-On: Analytics</v>
      </c>
      <c r="E140" s="1" t="str">
        <f>TRIM(CLEAN(PROPER(peakflow_q1_2025_dirty!E140)))</f>
        <v>Hannah Lee</v>
      </c>
      <c r="F140" s="1" t="str">
        <f>TRIM(CLEAN(PROPER(peakflow_q1_2025_dirty!F140)))</f>
        <v>Owen Walsh</v>
      </c>
      <c r="G140" s="1" t="str">
        <f>TRIM(CLEAN(UPPER(peakflow_q1_2025_dirty!G140)))</f>
        <v>LATAM</v>
      </c>
      <c r="H140" s="1">
        <f>VALUE(TRIM((CLEAN(peakflow_q1_2025_dirty!H140))))</f>
        <v>50</v>
      </c>
      <c r="I140" s="8">
        <f>VALUE(SUBSTITUTE(peakflow_q1_2025_dirty!I140,".","," ))</f>
        <v>62.85</v>
      </c>
      <c r="J140" s="8">
        <f t="shared" si="1"/>
        <v>3142.5</v>
      </c>
      <c r="K140" s="1" t="str">
        <f t="shared" si="2"/>
        <v>Februar</v>
      </c>
      <c r="M140" s="1">
        <f t="shared" si="3"/>
        <v>50</v>
      </c>
      <c r="N140" s="8">
        <f t="shared" si="4"/>
        <v>62.85</v>
      </c>
      <c r="O140" s="1" t="str">
        <f t="shared" si="5"/>
        <v>#N/A</v>
      </c>
      <c r="P140" s="1" t="str">
        <f t="shared" si="6"/>
        <v>#N/A</v>
      </c>
      <c r="Q140" s="1" t="str">
        <f t="shared" si="7"/>
        <v>#N/A</v>
      </c>
      <c r="R140" s="1" t="str">
        <f t="shared" si="8"/>
        <v>#N/A</v>
      </c>
      <c r="S140" s="1" t="str">
        <f t="shared" si="9"/>
        <v>#N/A</v>
      </c>
      <c r="T140" s="1" t="str">
        <f t="shared" si="10"/>
        <v>#N/A</v>
      </c>
      <c r="U140" s="1" t="str">
        <f t="shared" si="11"/>
        <v>#N/A</v>
      </c>
      <c r="V140" s="1" t="str">
        <f t="shared" si="12"/>
        <v>#N/A</v>
      </c>
      <c r="W140" s="1" t="str">
        <f t="shared" si="13"/>
        <v>#N/A</v>
      </c>
      <c r="X140" s="1" t="str">
        <f t="shared" si="14"/>
        <v>#N/A</v>
      </c>
    </row>
    <row r="141">
      <c r="A141" s="1" t="str">
        <f>TRIM(CLEAN(PROPER(peakflow_q1_2025_dirty!A142)))</f>
        <v>D-1016</v>
      </c>
      <c r="B141" s="10">
        <f>DATEVALUE(TRIM(CLEAN(peakflow_q1_2025_dirty!B142)))</f>
        <v>45709</v>
      </c>
      <c r="C141" s="1" t="str">
        <f>TRIM(CLEAN(PROPER(peakflow_q1_2025_dirty!C142)))</f>
        <v>Driftwood Co</v>
      </c>
      <c r="D141" s="1" t="str">
        <f>TRIM(CLEAN(PROPER(peakflow_q1_2025_dirty!D142)))</f>
        <v>Pro Plan</v>
      </c>
      <c r="E141" s="1" t="str">
        <f>TRIM(CLEAN(PROPER(peakflow_q1_2025_dirty!E142)))</f>
        <v>Marcus Johnson</v>
      </c>
      <c r="F141" s="1" t="str">
        <f>TRIM(CLEAN(PROPER(peakflow_q1_2025_dirty!F142)))</f>
        <v>Sarah Chen</v>
      </c>
      <c r="G141" s="1" t="str">
        <f>TRIM(CLEAN(PROPER(peakflow_q1_2025_dirty!G142)))</f>
        <v>North America</v>
      </c>
      <c r="H141" s="1">
        <f>VALUE(TRIM((CLEAN(peakflow_q1_2025_dirty!H142))))</f>
        <v>2</v>
      </c>
      <c r="I141" s="8">
        <f>VALUE(SUBSTITUTE(peakflow_q1_2025_dirty!I142,".","," ))</f>
        <v>273.36</v>
      </c>
      <c r="J141" s="8">
        <f t="shared" si="1"/>
        <v>546.72</v>
      </c>
      <c r="K141" s="1" t="str">
        <f t="shared" si="2"/>
        <v>Februar</v>
      </c>
      <c r="M141" s="1" t="str">
        <f t="shared" si="3"/>
        <v>#N/A</v>
      </c>
      <c r="N141" s="1" t="str">
        <f t="shared" si="4"/>
        <v>#N/A</v>
      </c>
      <c r="O141" s="1" t="str">
        <f t="shared" si="5"/>
        <v>#N/A</v>
      </c>
      <c r="P141" s="1" t="str">
        <f t="shared" si="6"/>
        <v>#N/A</v>
      </c>
      <c r="Q141" s="1" t="str">
        <f t="shared" si="7"/>
        <v>#N/A</v>
      </c>
      <c r="R141" s="1" t="str">
        <f t="shared" si="8"/>
        <v>#N/A</v>
      </c>
      <c r="S141" s="1" t="str">
        <f t="shared" si="9"/>
        <v>#N/A</v>
      </c>
      <c r="T141" s="1" t="str">
        <f t="shared" si="10"/>
        <v>#N/A</v>
      </c>
      <c r="U141" s="1">
        <f t="shared" si="11"/>
        <v>2</v>
      </c>
      <c r="V141" s="8">
        <f t="shared" si="12"/>
        <v>273.36</v>
      </c>
      <c r="W141" s="1" t="str">
        <f t="shared" si="13"/>
        <v>#N/A</v>
      </c>
      <c r="X141" s="1" t="str">
        <f t="shared" si="14"/>
        <v>#N/A</v>
      </c>
    </row>
    <row r="142">
      <c r="A142" s="1" t="str">
        <f>TRIM(CLEAN(PROPER(peakflow_q1_2025_dirty!A143)))</f>
        <v>D-1031</v>
      </c>
      <c r="B142" s="10">
        <f>DATEVALUE(TRIM(CLEAN(peakflow_q1_2025_dirty!B143)))</f>
        <v>45709</v>
      </c>
      <c r="C142" s="1" t="str">
        <f>TRIM(CLEAN(PROPER(peakflow_q1_2025_dirty!C143)))</f>
        <v>Northwind Co</v>
      </c>
      <c r="D142" s="1" t="str">
        <f>TRIM(CLEAN(PROPER(peakflow_q1_2025_dirty!D143)))</f>
        <v>Starter Plan</v>
      </c>
      <c r="E142" s="1" t="str">
        <f>TRIM(CLEAN(PROPER(peakflow_q1_2025_dirty!E143)))</f>
        <v>Elena Rossi</v>
      </c>
      <c r="F142" s="1" t="str">
        <f>TRIM(CLEAN(PROPER(peakflow_q1_2025_dirty!F143)))</f>
        <v>Lukas Becker</v>
      </c>
      <c r="G142" s="1" t="str">
        <f>TRIM(CLEAN(UPPER(peakflow_q1_2025_dirty!G143)))</f>
        <v>APAC</v>
      </c>
      <c r="H142" s="1">
        <f>VALUE(TRIM((CLEAN(peakflow_q1_2025_dirty!H143))))</f>
        <v>50</v>
      </c>
      <c r="I142" s="8">
        <f>VALUE(SUBSTITUTE(peakflow_q1_2025_dirty!I143,".","," ))</f>
        <v>71.74</v>
      </c>
      <c r="J142" s="8">
        <f t="shared" si="1"/>
        <v>3587</v>
      </c>
      <c r="K142" s="1" t="str">
        <f t="shared" si="2"/>
        <v>Februar</v>
      </c>
      <c r="M142" s="1" t="str">
        <f t="shared" si="3"/>
        <v>#N/A</v>
      </c>
      <c r="N142" s="1" t="str">
        <f t="shared" si="4"/>
        <v>#N/A</v>
      </c>
      <c r="O142" s="1" t="str">
        <f t="shared" si="5"/>
        <v>#N/A</v>
      </c>
      <c r="P142" s="1" t="str">
        <f t="shared" si="6"/>
        <v>#N/A</v>
      </c>
      <c r="Q142" s="1" t="str">
        <f t="shared" si="7"/>
        <v>#N/A</v>
      </c>
      <c r="R142" s="1" t="str">
        <f t="shared" si="8"/>
        <v>#N/A</v>
      </c>
      <c r="S142" s="1" t="str">
        <f t="shared" si="9"/>
        <v>#N/A</v>
      </c>
      <c r="T142" s="1" t="str">
        <f t="shared" si="10"/>
        <v>#N/A</v>
      </c>
      <c r="U142" s="1" t="str">
        <f t="shared" si="11"/>
        <v>#N/A</v>
      </c>
      <c r="V142" s="1" t="str">
        <f t="shared" si="12"/>
        <v>#N/A</v>
      </c>
      <c r="W142" s="1">
        <f t="shared" si="13"/>
        <v>50</v>
      </c>
      <c r="X142" s="8">
        <f t="shared" si="14"/>
        <v>71.74</v>
      </c>
    </row>
    <row r="143">
      <c r="A143" s="1" t="str">
        <f>TRIM(CLEAN(PROPER(peakflow_q1_2025_dirty!A144)))</f>
        <v>D-1052</v>
      </c>
      <c r="B143" s="10">
        <f>DATEVALUE(TRIM(CLEAN(peakflow_q1_2025_dirty!B144)))</f>
        <v>45709</v>
      </c>
      <c r="C143" s="1" t="str">
        <f>TRIM(CLEAN(PROPER(peakflow_q1_2025_dirty!C144)))</f>
        <v>Cascade Group</v>
      </c>
      <c r="D143" s="1" t="str">
        <f>TRIM(CLEAN(PROPER(peakflow_q1_2025_dirty!D144)))</f>
        <v>Business Plan</v>
      </c>
      <c r="E143" s="1" t="str">
        <f>TRIM(CLEAN(PROPER(peakflow_q1_2025_dirty!E144)))</f>
        <v>Sophie Laurent</v>
      </c>
      <c r="F143" s="1" t="str">
        <f>TRIM(CLEAN(PROPER(peakflow_q1_2025_dirty!F144)))</f>
        <v>Maya Rodriguez</v>
      </c>
      <c r="G143" s="1" t="str">
        <f>TRIM(CLEAN(UPPER(peakflow_q1_2025_dirty!G144)))</f>
        <v>EMEA</v>
      </c>
      <c r="H143" s="1">
        <f>VALUE(TRIM((CLEAN(peakflow_q1_2025_dirty!H144))))</f>
        <v>10</v>
      </c>
      <c r="I143" s="8">
        <f>VALUE(SUBSTITUTE(peakflow_q1_2025_dirty!I144,".","," ))</f>
        <v>490.82</v>
      </c>
      <c r="J143" s="8">
        <f t="shared" si="1"/>
        <v>4908.2</v>
      </c>
      <c r="K143" s="1" t="str">
        <f t="shared" si="2"/>
        <v>Februar</v>
      </c>
      <c r="M143" s="1" t="str">
        <f t="shared" si="3"/>
        <v>#N/A</v>
      </c>
      <c r="N143" s="1" t="str">
        <f t="shared" si="4"/>
        <v>#N/A</v>
      </c>
      <c r="O143" s="1" t="str">
        <f t="shared" si="5"/>
        <v>#N/A</v>
      </c>
      <c r="P143" s="1" t="str">
        <f t="shared" si="6"/>
        <v>#N/A</v>
      </c>
      <c r="Q143" s="1">
        <f t="shared" si="7"/>
        <v>10</v>
      </c>
      <c r="R143" s="8">
        <f t="shared" si="8"/>
        <v>490.82</v>
      </c>
      <c r="S143" s="1" t="str">
        <f t="shared" si="9"/>
        <v>#N/A</v>
      </c>
      <c r="T143" s="1" t="str">
        <f t="shared" si="10"/>
        <v>#N/A</v>
      </c>
      <c r="U143" s="1" t="str">
        <f t="shared" si="11"/>
        <v>#N/A</v>
      </c>
      <c r="V143" s="1" t="str">
        <f t="shared" si="12"/>
        <v>#N/A</v>
      </c>
      <c r="W143" s="1" t="str">
        <f t="shared" si="13"/>
        <v>#N/A</v>
      </c>
      <c r="X143" s="1" t="str">
        <f t="shared" si="14"/>
        <v>#N/A</v>
      </c>
    </row>
    <row r="144">
      <c r="A144" s="1" t="str">
        <f>TRIM(CLEAN(PROPER(peakflow_q1_2025_dirty!A145)))</f>
        <v>D-1087</v>
      </c>
      <c r="B144" s="10">
        <f>DATEVALUE(TRIM(CLEAN(peakflow_q1_2025_dirty!B145)))</f>
        <v>45709</v>
      </c>
      <c r="C144" s="1" t="str">
        <f>TRIM(CLEAN(PROPER(peakflow_q1_2025_dirty!C145)))</f>
        <v>Stellar Co</v>
      </c>
      <c r="D144" s="1" t="str">
        <f>TRIM(CLEAN(PROPER(peakflow_q1_2025_dirty!D145)))</f>
        <v>Business Plan</v>
      </c>
      <c r="E144" s="1" t="str">
        <f>TRIM(CLEAN(PROPER(peakflow_q1_2025_dirty!E145)))</f>
        <v>Marcus Johnson</v>
      </c>
      <c r="F144" s="1" t="str">
        <f>TRIM(CLEAN(PROPER(peakflow_q1_2025_dirty!F145)))</f>
        <v>Sarah Chen</v>
      </c>
      <c r="G144" s="1" t="str">
        <f>TRIM(CLEAN(UPPER(peakflow_q1_2025_dirty!G145)))</f>
        <v>EMEA</v>
      </c>
      <c r="H144" s="1">
        <f>VALUE(TRIM((CLEAN(peakflow_q1_2025_dirty!H145))))</f>
        <v>2</v>
      </c>
      <c r="I144" s="8">
        <f>VALUE(SUBSTITUTE(peakflow_q1_2025_dirty!I145,".","," ))</f>
        <v>400.66</v>
      </c>
      <c r="J144" s="8">
        <f t="shared" si="1"/>
        <v>801.32</v>
      </c>
      <c r="K144" s="1" t="str">
        <f t="shared" si="2"/>
        <v>Februar</v>
      </c>
      <c r="M144" s="1" t="str">
        <f t="shared" si="3"/>
        <v>#N/A</v>
      </c>
      <c r="N144" s="1" t="str">
        <f t="shared" si="4"/>
        <v>#N/A</v>
      </c>
      <c r="O144" s="1" t="str">
        <f t="shared" si="5"/>
        <v>#N/A</v>
      </c>
      <c r="P144" s="1" t="str">
        <f t="shared" si="6"/>
        <v>#N/A</v>
      </c>
      <c r="Q144" s="1">
        <f t="shared" si="7"/>
        <v>2</v>
      </c>
      <c r="R144" s="8">
        <f t="shared" si="8"/>
        <v>400.66</v>
      </c>
      <c r="S144" s="1" t="str">
        <f t="shared" si="9"/>
        <v>#N/A</v>
      </c>
      <c r="T144" s="1" t="str">
        <f t="shared" si="10"/>
        <v>#N/A</v>
      </c>
      <c r="U144" s="1" t="str">
        <f t="shared" si="11"/>
        <v>#N/A</v>
      </c>
      <c r="V144" s="1" t="str">
        <f t="shared" si="12"/>
        <v>#N/A</v>
      </c>
      <c r="W144" s="1" t="str">
        <f t="shared" si="13"/>
        <v>#N/A</v>
      </c>
      <c r="X144" s="1" t="str">
        <f t="shared" si="14"/>
        <v>#N/A</v>
      </c>
    </row>
    <row r="145">
      <c r="A145" s="1" t="str">
        <f>TRIM(CLEAN(PROPER(peakflow_q1_2025_dirty!A146)))</f>
        <v>D-1119</v>
      </c>
      <c r="B145" s="10">
        <f>DATEVALUE(TRIM(CLEAN(peakflow_q1_2025_dirty!B146)))</f>
        <v>45709</v>
      </c>
      <c r="C145" s="1" t="str">
        <f>TRIM(CLEAN(PROPER(peakflow_q1_2025_dirty!C146)))</f>
        <v>Stellar Co</v>
      </c>
      <c r="D145" s="1" t="str">
        <f>TRIM(CLEAN(PROPER(peakflow_q1_2025_dirty!D146)))</f>
        <v>Pro Plan</v>
      </c>
      <c r="E145" s="1" t="str">
        <f>TRIM(CLEAN(PROPER(peakflow_q1_2025_dirty!E146)))</f>
        <v>David Kim</v>
      </c>
      <c r="F145" s="1" t="str">
        <f>TRIM(CLEAN(PROPER(peakflow_q1_2025_dirty!F146)))</f>
        <v>Sarah Chen</v>
      </c>
      <c r="G145" s="1" t="str">
        <f>TRIM(CLEAN(UPPER(peakflow_q1_2025_dirty!G146)))</f>
        <v>EMEA</v>
      </c>
      <c r="H145" s="1">
        <f>VALUE(TRIM((CLEAN(peakflow_q1_2025_dirty!H146))))</f>
        <v>5</v>
      </c>
      <c r="I145" s="8">
        <f>VALUE(SUBSTITUTE(peakflow_q1_2025_dirty!I146,".","," ))</f>
        <v>157.24</v>
      </c>
      <c r="J145" s="8">
        <f t="shared" si="1"/>
        <v>786.2</v>
      </c>
      <c r="K145" s="1" t="str">
        <f t="shared" si="2"/>
        <v>Februar</v>
      </c>
      <c r="M145" s="1" t="str">
        <f t="shared" si="3"/>
        <v>#N/A</v>
      </c>
      <c r="N145" s="1" t="str">
        <f t="shared" si="4"/>
        <v>#N/A</v>
      </c>
      <c r="O145" s="1" t="str">
        <f t="shared" si="5"/>
        <v>#N/A</v>
      </c>
      <c r="P145" s="1" t="str">
        <f t="shared" si="6"/>
        <v>#N/A</v>
      </c>
      <c r="Q145" s="1" t="str">
        <f t="shared" si="7"/>
        <v>#N/A</v>
      </c>
      <c r="R145" s="1" t="str">
        <f t="shared" si="8"/>
        <v>#N/A</v>
      </c>
      <c r="S145" s="1" t="str">
        <f t="shared" si="9"/>
        <v>#N/A</v>
      </c>
      <c r="T145" s="1" t="str">
        <f t="shared" si="10"/>
        <v>#N/A</v>
      </c>
      <c r="U145" s="1">
        <f t="shared" si="11"/>
        <v>5</v>
      </c>
      <c r="V145" s="8">
        <f t="shared" si="12"/>
        <v>157.24</v>
      </c>
      <c r="W145" s="1" t="str">
        <f t="shared" si="13"/>
        <v>#N/A</v>
      </c>
      <c r="X145" s="1" t="str">
        <f t="shared" si="14"/>
        <v>#N/A</v>
      </c>
    </row>
    <row r="146">
      <c r="A146" s="1" t="str">
        <f>TRIM(CLEAN(PROPER(peakflow_q1_2025_dirty!A147)))</f>
        <v>D-1175</v>
      </c>
      <c r="B146" s="10">
        <f>DATEVALUE(TRIM(CLEAN(peakflow_q1_2025_dirty!B147)))</f>
        <v>45709</v>
      </c>
      <c r="C146" s="1" t="str">
        <f>TRIM(CLEAN(PROPER(peakflow_q1_2025_dirty!C147)))</f>
        <v>Granite Co</v>
      </c>
      <c r="D146" s="1" t="str">
        <f>TRIM(CLEAN(PROPER(peakflow_q1_2025_dirty!D147)))</f>
        <v>Starter Plan</v>
      </c>
      <c r="E146" s="1" t="str">
        <f>TRIM(CLEAN(PROPER(peakflow_q1_2025_dirty!E147)))</f>
        <v>Marcus Johnson</v>
      </c>
      <c r="F146" s="1" t="str">
        <f>TRIM(CLEAN(PROPER(peakflow_q1_2025_dirty!F147)))</f>
        <v>Sarah Chen</v>
      </c>
      <c r="G146" s="1" t="str">
        <f>TRIM(CLEAN(UPPER(peakflow_q1_2025_dirty!G147)))</f>
        <v>LATAM</v>
      </c>
      <c r="H146" s="1">
        <f>VALUE(TRIM((CLEAN(peakflow_q1_2025_dirty!H147))))</f>
        <v>1</v>
      </c>
      <c r="I146" s="8">
        <f>VALUE(SUBSTITUTE(peakflow_q1_2025_dirty!I147,".","," ))</f>
        <v>60.23</v>
      </c>
      <c r="J146" s="8">
        <f t="shared" si="1"/>
        <v>60.23</v>
      </c>
      <c r="K146" s="1" t="str">
        <f t="shared" si="2"/>
        <v>Februar</v>
      </c>
      <c r="M146" s="1" t="str">
        <f t="shared" si="3"/>
        <v>#N/A</v>
      </c>
      <c r="N146" s="1" t="str">
        <f t="shared" si="4"/>
        <v>#N/A</v>
      </c>
      <c r="O146" s="1" t="str">
        <f t="shared" si="5"/>
        <v>#N/A</v>
      </c>
      <c r="P146" s="1" t="str">
        <f t="shared" si="6"/>
        <v>#N/A</v>
      </c>
      <c r="Q146" s="1" t="str">
        <f t="shared" si="7"/>
        <v>#N/A</v>
      </c>
      <c r="R146" s="1" t="str">
        <f t="shared" si="8"/>
        <v>#N/A</v>
      </c>
      <c r="S146" s="1" t="str">
        <f t="shared" si="9"/>
        <v>#N/A</v>
      </c>
      <c r="T146" s="1" t="str">
        <f t="shared" si="10"/>
        <v>#N/A</v>
      </c>
      <c r="U146" s="1" t="str">
        <f t="shared" si="11"/>
        <v>#N/A</v>
      </c>
      <c r="V146" s="1" t="str">
        <f t="shared" si="12"/>
        <v>#N/A</v>
      </c>
      <c r="W146" s="1">
        <f t="shared" si="13"/>
        <v>1</v>
      </c>
      <c r="X146" s="8">
        <f t="shared" si="14"/>
        <v>60.23</v>
      </c>
    </row>
    <row r="147">
      <c r="A147" s="1" t="str">
        <f>TRIM(CLEAN(PROPER(peakflow_q1_2025_dirty!A148)))</f>
        <v>D-1242</v>
      </c>
      <c r="B147" s="10">
        <f>DATEVALUE(TRIM(CLEAN(peakflow_q1_2025_dirty!B148)))</f>
        <v>45709</v>
      </c>
      <c r="C147" s="1" t="str">
        <f>TRIM(CLEAN(PROPER(peakflow_q1_2025_dirty!C148)))</f>
        <v>Vertex Inc</v>
      </c>
      <c r="D147" s="1" t="str">
        <f>TRIM(CLEAN(PROPER(peakflow_q1_2025_dirty!D148)))</f>
        <v>Starter Plan</v>
      </c>
      <c r="E147" s="1" t="str">
        <f>TRIM(CLEAN(PROPER(peakflow_q1_2025_dirty!E148)))</f>
        <v>Marcus Johnson</v>
      </c>
      <c r="F147" s="1" t="str">
        <f>TRIM(CLEAN(PROPER(peakflow_q1_2025_dirty!F148)))</f>
        <v>Sarah Chen</v>
      </c>
      <c r="G147" s="1" t="str">
        <f>TRIM(CLEAN(UPPER(peakflow_q1_2025_dirty!G148)))</f>
        <v>APAC</v>
      </c>
      <c r="H147" s="1">
        <f>VALUE(TRIM((CLEAN(peakflow_q1_2025_dirty!H148))))</f>
        <v>1</v>
      </c>
      <c r="I147" s="8">
        <f>VALUE(SUBSTITUTE(peakflow_q1_2025_dirty!I148,".","," ))</f>
        <v>46.99</v>
      </c>
      <c r="J147" s="8">
        <f t="shared" si="1"/>
        <v>46.99</v>
      </c>
      <c r="K147" s="1" t="str">
        <f t="shared" si="2"/>
        <v>Februar</v>
      </c>
      <c r="M147" s="1" t="str">
        <f t="shared" si="3"/>
        <v>#N/A</v>
      </c>
      <c r="N147" s="1" t="str">
        <f t="shared" si="4"/>
        <v>#N/A</v>
      </c>
      <c r="O147" s="1" t="str">
        <f t="shared" si="5"/>
        <v>#N/A</v>
      </c>
      <c r="P147" s="1" t="str">
        <f t="shared" si="6"/>
        <v>#N/A</v>
      </c>
      <c r="Q147" s="1" t="str">
        <f t="shared" si="7"/>
        <v>#N/A</v>
      </c>
      <c r="R147" s="1" t="str">
        <f t="shared" si="8"/>
        <v>#N/A</v>
      </c>
      <c r="S147" s="1" t="str">
        <f t="shared" si="9"/>
        <v>#N/A</v>
      </c>
      <c r="T147" s="1" t="str">
        <f t="shared" si="10"/>
        <v>#N/A</v>
      </c>
      <c r="U147" s="1" t="str">
        <f t="shared" si="11"/>
        <v>#N/A</v>
      </c>
      <c r="V147" s="1" t="str">
        <f t="shared" si="12"/>
        <v>#N/A</v>
      </c>
      <c r="W147" s="1">
        <f t="shared" si="13"/>
        <v>1</v>
      </c>
      <c r="X147" s="8">
        <f t="shared" si="14"/>
        <v>46.99</v>
      </c>
    </row>
    <row r="148">
      <c r="A148" s="1" t="str">
        <f>TRIM(CLEAN(PROPER(peakflow_q1_2025_dirty!A149)))</f>
        <v>D-1114</v>
      </c>
      <c r="B148" s="10">
        <f>DATEVALUE(TRIM(CLEAN(peakflow_q1_2025_dirty!B149)))</f>
        <v>45710</v>
      </c>
      <c r="C148" s="1" t="str">
        <f>TRIM(CLEAN(PROPER(peakflow_q1_2025_dirty!C149)))</f>
        <v>Solstice Group</v>
      </c>
      <c r="D148" s="1" t="str">
        <f>TRIM(CLEAN(PROPER(peakflow_q1_2025_dirty!D149)))</f>
        <v>Add-On: Support</v>
      </c>
      <c r="E148" s="1" t="str">
        <f>TRIM(CLEAN(PROPER(peakflow_q1_2025_dirty!E149)))</f>
        <v>Elena Rossi</v>
      </c>
      <c r="F148" s="1" t="str">
        <f>TRIM(CLEAN(PROPER(peakflow_q1_2025_dirty!F149)))</f>
        <v>Lukas Becker</v>
      </c>
      <c r="G148" s="1" t="str">
        <f>TRIM(CLEAN(UPPER(peakflow_q1_2025_dirty!G149)))</f>
        <v>APAC</v>
      </c>
      <c r="H148" s="1">
        <f>VALUE(TRIM((CLEAN(peakflow_q1_2025_dirty!H149))))</f>
        <v>2</v>
      </c>
      <c r="I148" s="8">
        <f>VALUE(SUBSTITUTE(peakflow_q1_2025_dirty!I149,".","," ))</f>
        <v>43.17</v>
      </c>
      <c r="J148" s="8">
        <f t="shared" si="1"/>
        <v>86.34</v>
      </c>
      <c r="K148" s="1" t="str">
        <f t="shared" si="2"/>
        <v>Februar</v>
      </c>
      <c r="M148" s="1" t="str">
        <f t="shared" si="3"/>
        <v>#N/A</v>
      </c>
      <c r="N148" s="1" t="str">
        <f t="shared" si="4"/>
        <v>#N/A</v>
      </c>
      <c r="O148" s="1">
        <f t="shared" si="5"/>
        <v>2</v>
      </c>
      <c r="P148" s="8">
        <f t="shared" si="6"/>
        <v>43.17</v>
      </c>
      <c r="Q148" s="1" t="str">
        <f t="shared" si="7"/>
        <v>#N/A</v>
      </c>
      <c r="R148" s="1" t="str">
        <f t="shared" si="8"/>
        <v>#N/A</v>
      </c>
      <c r="S148" s="1" t="str">
        <f t="shared" si="9"/>
        <v>#N/A</v>
      </c>
      <c r="T148" s="1" t="str">
        <f t="shared" si="10"/>
        <v>#N/A</v>
      </c>
      <c r="U148" s="1" t="str">
        <f t="shared" si="11"/>
        <v>#N/A</v>
      </c>
      <c r="V148" s="1" t="str">
        <f t="shared" si="12"/>
        <v>#N/A</v>
      </c>
      <c r="W148" s="1" t="str">
        <f t="shared" si="13"/>
        <v>#N/A</v>
      </c>
      <c r="X148" s="1" t="str">
        <f t="shared" si="14"/>
        <v>#N/A</v>
      </c>
    </row>
    <row r="149">
      <c r="A149" s="1" t="str">
        <f>TRIM(CLEAN(PROPER(peakflow_q1_2025_dirty!A150)))</f>
        <v>D-1025</v>
      </c>
      <c r="B149" s="10">
        <f>DATEVALUE(TRIM(CLEAN(peakflow_q1_2025_dirty!B150)))</f>
        <v>45711</v>
      </c>
      <c r="C149" s="1" t="str">
        <f>TRIM(CLEAN(PROPER(peakflow_q1_2025_dirty!C150)))</f>
        <v>Atlas Group</v>
      </c>
      <c r="D149" s="1" t="str">
        <f>TRIM(CLEAN(PROPER(peakflow_q1_2025_dirty!D150)))</f>
        <v>Add-On: Analytics</v>
      </c>
      <c r="E149" s="1" t="str">
        <f>TRIM(CLEAN(PROPER(peakflow_q1_2025_dirty!E150)))</f>
        <v>David Kim</v>
      </c>
      <c r="F149" s="1" t="str">
        <f>TRIM(CLEAN(PROPER(peakflow_q1_2025_dirty!F150)))</f>
        <v>Sarah Chen</v>
      </c>
      <c r="G149" s="1" t="str">
        <f>TRIM(CLEAN(UPPER(peakflow_q1_2025_dirty!G150)))</f>
        <v>EMEA</v>
      </c>
      <c r="H149" s="1">
        <f>VALUE(TRIM((CLEAN(peakflow_q1_2025_dirty!H150))))</f>
        <v>10</v>
      </c>
      <c r="I149" s="8">
        <f>VALUE(SUBSTITUTE(peakflow_q1_2025_dirty!I150,".","," ))</f>
        <v>75.66</v>
      </c>
      <c r="J149" s="8">
        <f t="shared" si="1"/>
        <v>756.6</v>
      </c>
      <c r="K149" s="1" t="str">
        <f t="shared" si="2"/>
        <v>Februar</v>
      </c>
      <c r="M149" s="1">
        <f t="shared" si="3"/>
        <v>10</v>
      </c>
      <c r="N149" s="8">
        <f t="shared" si="4"/>
        <v>75.66</v>
      </c>
      <c r="O149" s="1" t="str">
        <f t="shared" si="5"/>
        <v>#N/A</v>
      </c>
      <c r="P149" s="1" t="str">
        <f t="shared" si="6"/>
        <v>#N/A</v>
      </c>
      <c r="Q149" s="1" t="str">
        <f t="shared" si="7"/>
        <v>#N/A</v>
      </c>
      <c r="R149" s="1" t="str">
        <f t="shared" si="8"/>
        <v>#N/A</v>
      </c>
      <c r="S149" s="1" t="str">
        <f t="shared" si="9"/>
        <v>#N/A</v>
      </c>
      <c r="T149" s="1" t="str">
        <f t="shared" si="10"/>
        <v>#N/A</v>
      </c>
      <c r="U149" s="1" t="str">
        <f t="shared" si="11"/>
        <v>#N/A</v>
      </c>
      <c r="V149" s="1" t="str">
        <f t="shared" si="12"/>
        <v>#N/A</v>
      </c>
      <c r="W149" s="1" t="str">
        <f t="shared" si="13"/>
        <v>#N/A</v>
      </c>
      <c r="X149" s="1" t="str">
        <f t="shared" si="14"/>
        <v>#N/A</v>
      </c>
    </row>
    <row r="150">
      <c r="A150" s="1" t="str">
        <f>TRIM(CLEAN(PROPER(peakflow_q1_2025_dirty!A151)))</f>
        <v>D-1081</v>
      </c>
      <c r="B150" s="10">
        <f>DATEVALUE(TRIM(CLEAN(peakflow_q1_2025_dirty!B151)))</f>
        <v>45711</v>
      </c>
      <c r="C150" s="1" t="str">
        <f>TRIM(CLEAN(PROPER(peakflow_q1_2025_dirty!C151)))</f>
        <v>Northwind Co</v>
      </c>
      <c r="D150" s="1" t="str">
        <f>TRIM(CLEAN(PROPER(peakflow_q1_2025_dirty!D151)))</f>
        <v>Business Plan</v>
      </c>
      <c r="E150" s="1" t="str">
        <f>TRIM(CLEAN(PROPER(peakflow_q1_2025_dirty!E151)))</f>
        <v>David Kim</v>
      </c>
      <c r="F150" s="1" t="str">
        <f>TRIM(CLEAN(PROPER(peakflow_q1_2025_dirty!F151)))</f>
        <v>Sarah Chen</v>
      </c>
      <c r="G150" s="1" t="str">
        <f>TRIM(CLEAN(UPPER(peakflow_q1_2025_dirty!G151)))</f>
        <v>EMEA</v>
      </c>
      <c r="H150" s="1">
        <f>VALUE(TRIM((CLEAN(peakflow_q1_2025_dirty!H151))))</f>
        <v>1</v>
      </c>
      <c r="I150" s="8">
        <f>VALUE(SUBSTITUTE(peakflow_q1_2025_dirty!I151,".","," ))</f>
        <v>377.71</v>
      </c>
      <c r="J150" s="8">
        <f t="shared" si="1"/>
        <v>377.71</v>
      </c>
      <c r="K150" s="1" t="str">
        <f t="shared" si="2"/>
        <v>Februar</v>
      </c>
      <c r="M150" s="1" t="str">
        <f t="shared" si="3"/>
        <v>#N/A</v>
      </c>
      <c r="N150" s="1" t="str">
        <f t="shared" si="4"/>
        <v>#N/A</v>
      </c>
      <c r="O150" s="1" t="str">
        <f t="shared" si="5"/>
        <v>#N/A</v>
      </c>
      <c r="P150" s="1" t="str">
        <f t="shared" si="6"/>
        <v>#N/A</v>
      </c>
      <c r="Q150" s="1">
        <f t="shared" si="7"/>
        <v>1</v>
      </c>
      <c r="R150" s="8">
        <f t="shared" si="8"/>
        <v>377.71</v>
      </c>
      <c r="S150" s="1" t="str">
        <f t="shared" si="9"/>
        <v>#N/A</v>
      </c>
      <c r="T150" s="1" t="str">
        <f t="shared" si="10"/>
        <v>#N/A</v>
      </c>
      <c r="U150" s="1" t="str">
        <f t="shared" si="11"/>
        <v>#N/A</v>
      </c>
      <c r="V150" s="1" t="str">
        <f t="shared" si="12"/>
        <v>#N/A</v>
      </c>
      <c r="W150" s="1" t="str">
        <f t="shared" si="13"/>
        <v>#N/A</v>
      </c>
      <c r="X150" s="1" t="str">
        <f t="shared" si="14"/>
        <v>#N/A</v>
      </c>
    </row>
    <row r="151">
      <c r="A151" s="1" t="str">
        <f>TRIM(CLEAN(PROPER(peakflow_q1_2025_dirty!A152)))</f>
        <v>D-1113</v>
      </c>
      <c r="B151" s="10">
        <f>DATEVALUE(TRIM(CLEAN(peakflow_q1_2025_dirty!B152)))</f>
        <v>45711</v>
      </c>
      <c r="C151" s="1" t="str">
        <f>TRIM(CLEAN(PROPER(peakflow_q1_2025_dirty!C152)))</f>
        <v>Citadel Group</v>
      </c>
      <c r="D151" s="1" t="str">
        <f>TRIM(CLEAN(PROPER(peakflow_q1_2025_dirty!D152)))</f>
        <v>Pro Plan</v>
      </c>
      <c r="E151" s="1" t="str">
        <f>TRIM(CLEAN(PROPER(peakflow_q1_2025_dirty!E152)))</f>
        <v>Hannah Lee</v>
      </c>
      <c r="F151" s="1" t="str">
        <f>TRIM(CLEAN(PROPER(peakflow_q1_2025_dirty!F152)))</f>
        <v>Owen Walsh</v>
      </c>
      <c r="G151" s="1" t="str">
        <f>TRIM(CLEAN(UPPER(peakflow_q1_2025_dirty!G152)))</f>
        <v>APAC</v>
      </c>
      <c r="H151" s="1">
        <f>VALUE(TRIM((CLEAN(peakflow_q1_2025_dirty!H152))))</f>
        <v>2</v>
      </c>
      <c r="I151" s="8">
        <f>VALUE(SUBSTITUTE(peakflow_q1_2025_dirty!I152,".","," ))</f>
        <v>180.13</v>
      </c>
      <c r="J151" s="8">
        <f t="shared" si="1"/>
        <v>360.26</v>
      </c>
      <c r="K151" s="1" t="str">
        <f t="shared" si="2"/>
        <v>Februar</v>
      </c>
      <c r="M151" s="1" t="str">
        <f t="shared" si="3"/>
        <v>#N/A</v>
      </c>
      <c r="N151" s="1" t="str">
        <f t="shared" si="4"/>
        <v>#N/A</v>
      </c>
      <c r="O151" s="1" t="str">
        <f t="shared" si="5"/>
        <v>#N/A</v>
      </c>
      <c r="P151" s="1" t="str">
        <f t="shared" si="6"/>
        <v>#N/A</v>
      </c>
      <c r="Q151" s="1" t="str">
        <f t="shared" si="7"/>
        <v>#N/A</v>
      </c>
      <c r="R151" s="1" t="str">
        <f t="shared" si="8"/>
        <v>#N/A</v>
      </c>
      <c r="S151" s="1" t="str">
        <f t="shared" si="9"/>
        <v>#N/A</v>
      </c>
      <c r="T151" s="1" t="str">
        <f t="shared" si="10"/>
        <v>#N/A</v>
      </c>
      <c r="U151" s="1">
        <f t="shared" si="11"/>
        <v>2</v>
      </c>
      <c r="V151" s="8">
        <f t="shared" si="12"/>
        <v>180.13</v>
      </c>
      <c r="W151" s="1" t="str">
        <f t="shared" si="13"/>
        <v>#N/A</v>
      </c>
      <c r="X151" s="1" t="str">
        <f t="shared" si="14"/>
        <v>#N/A</v>
      </c>
    </row>
    <row r="152">
      <c r="A152" s="1" t="str">
        <f>TRIM(CLEAN(PROPER(peakflow_q1_2025_dirty!A153)))</f>
        <v>D-1149</v>
      </c>
      <c r="B152" s="10">
        <f>DATEVALUE(TRIM(CLEAN(peakflow_q1_2025_dirty!B153)))</f>
        <v>45711</v>
      </c>
      <c r="C152" s="1" t="str">
        <f>TRIM(CLEAN(PROPER(peakflow_q1_2025_dirty!C153)))</f>
        <v>Granite Co</v>
      </c>
      <c r="D152" s="1" t="str">
        <f>TRIM(CLEAN(PROPER(peakflow_q1_2025_dirty!D153)))</f>
        <v>Starter Plan</v>
      </c>
      <c r="E152" s="1" t="str">
        <f>TRIM(CLEAN(PROPER(peakflow_q1_2025_dirty!E153)))</f>
        <v>Nina Petrov</v>
      </c>
      <c r="F152" s="1" t="str">
        <f>TRIM(CLEAN(PROPER(peakflow_q1_2025_dirty!F153)))</f>
        <v>Lukas Becker</v>
      </c>
      <c r="G152" s="1" t="str">
        <f>TRIM(CLEAN(UPPER(peakflow_q1_2025_dirty!G153)))</f>
        <v>EMEA</v>
      </c>
      <c r="H152" s="1">
        <f>VALUE(TRIM((CLEAN(peakflow_q1_2025_dirty!H153))))</f>
        <v>10</v>
      </c>
      <c r="I152" s="8">
        <f>VALUE(SUBSTITUTE(peakflow_q1_2025_dirty!I153,".","," ))</f>
        <v>58.15</v>
      </c>
      <c r="J152" s="8">
        <f t="shared" si="1"/>
        <v>581.5</v>
      </c>
      <c r="K152" s="1" t="str">
        <f t="shared" si="2"/>
        <v>Februar</v>
      </c>
      <c r="M152" s="1" t="str">
        <f t="shared" si="3"/>
        <v>#N/A</v>
      </c>
      <c r="N152" s="1" t="str">
        <f t="shared" si="4"/>
        <v>#N/A</v>
      </c>
      <c r="O152" s="1" t="str">
        <f t="shared" si="5"/>
        <v>#N/A</v>
      </c>
      <c r="P152" s="1" t="str">
        <f t="shared" si="6"/>
        <v>#N/A</v>
      </c>
      <c r="Q152" s="1" t="str">
        <f t="shared" si="7"/>
        <v>#N/A</v>
      </c>
      <c r="R152" s="1" t="str">
        <f t="shared" si="8"/>
        <v>#N/A</v>
      </c>
      <c r="S152" s="1" t="str">
        <f t="shared" si="9"/>
        <v>#N/A</v>
      </c>
      <c r="T152" s="1" t="str">
        <f t="shared" si="10"/>
        <v>#N/A</v>
      </c>
      <c r="U152" s="1" t="str">
        <f t="shared" si="11"/>
        <v>#N/A</v>
      </c>
      <c r="V152" s="1" t="str">
        <f t="shared" si="12"/>
        <v>#N/A</v>
      </c>
      <c r="W152" s="1">
        <f t="shared" si="13"/>
        <v>10</v>
      </c>
      <c r="X152" s="8">
        <f t="shared" si="14"/>
        <v>58.15</v>
      </c>
    </row>
    <row r="153">
      <c r="A153" s="1" t="str">
        <f>TRIM(CLEAN(PROPER(peakflow_q1_2025_dirty!A154)))</f>
        <v>D-1005</v>
      </c>
      <c r="B153" s="10">
        <f>DATEVALUE(TRIM(CLEAN(peakflow_q1_2025_dirty!B154)))</f>
        <v>45712</v>
      </c>
      <c r="C153" s="1" t="str">
        <f>TRIM(CLEAN(PROPER(peakflow_q1_2025_dirty!C154)))</f>
        <v>Echo Labs</v>
      </c>
      <c r="D153" s="1" t="str">
        <f>TRIM(CLEAN(PROPER(peakflow_q1_2025_dirty!D154)))</f>
        <v>Pro Plan</v>
      </c>
      <c r="E153" s="1" t="str">
        <f>TRIM(CLEAN(PROPER(peakflow_q1_2025_dirty!E154)))</f>
        <v>Elena Rossi</v>
      </c>
      <c r="F153" s="1" t="str">
        <f>TRIM(CLEAN(PROPER(peakflow_q1_2025_dirty!F154)))</f>
        <v>Lukas Becker</v>
      </c>
      <c r="G153" s="1" t="str">
        <f>TRIM(CLEAN(PROPER(peakflow_q1_2025_dirty!G154)))</f>
        <v>North America</v>
      </c>
      <c r="H153" s="1">
        <f>VALUE(TRIM((CLEAN(peakflow_q1_2025_dirty!H154))))</f>
        <v>1</v>
      </c>
      <c r="I153" s="8">
        <f>VALUE(SUBSTITUTE(peakflow_q1_2025_dirty!I154,".","," ))</f>
        <v>233.69</v>
      </c>
      <c r="J153" s="8">
        <f t="shared" si="1"/>
        <v>233.69</v>
      </c>
      <c r="K153" s="1" t="str">
        <f t="shared" si="2"/>
        <v>Februar</v>
      </c>
      <c r="M153" s="1" t="str">
        <f t="shared" si="3"/>
        <v>#N/A</v>
      </c>
      <c r="N153" s="1" t="str">
        <f t="shared" si="4"/>
        <v>#N/A</v>
      </c>
      <c r="O153" s="1" t="str">
        <f t="shared" si="5"/>
        <v>#N/A</v>
      </c>
      <c r="P153" s="1" t="str">
        <f t="shared" si="6"/>
        <v>#N/A</v>
      </c>
      <c r="Q153" s="1" t="str">
        <f t="shared" si="7"/>
        <v>#N/A</v>
      </c>
      <c r="R153" s="1" t="str">
        <f t="shared" si="8"/>
        <v>#N/A</v>
      </c>
      <c r="S153" s="1" t="str">
        <f t="shared" si="9"/>
        <v>#N/A</v>
      </c>
      <c r="T153" s="1" t="str">
        <f t="shared" si="10"/>
        <v>#N/A</v>
      </c>
      <c r="U153" s="1">
        <f t="shared" si="11"/>
        <v>1</v>
      </c>
      <c r="V153" s="8">
        <f t="shared" si="12"/>
        <v>233.69</v>
      </c>
      <c r="W153" s="1" t="str">
        <f t="shared" si="13"/>
        <v>#N/A</v>
      </c>
      <c r="X153" s="1" t="str">
        <f t="shared" si="14"/>
        <v>#N/A</v>
      </c>
    </row>
    <row r="154">
      <c r="A154" s="1" t="str">
        <f>TRIM(CLEAN(PROPER(peakflow_q1_2025_dirty!A155)))</f>
        <v>D-1049</v>
      </c>
      <c r="B154" s="10">
        <f>DATEVALUE(TRIM(CLEAN(peakflow_q1_2025_dirty!B155)))</f>
        <v>45712</v>
      </c>
      <c r="C154" s="1" t="str">
        <f>TRIM(CLEAN(PROPER(peakflow_q1_2025_dirty!C155)))</f>
        <v>Obsidian Co</v>
      </c>
      <c r="D154" s="1" t="str">
        <f>TRIM(CLEAN(PROPER(peakflow_q1_2025_dirty!D155)))</f>
        <v>Add-On: Analytics</v>
      </c>
      <c r="E154" s="1" t="str">
        <f>TRIM(CLEAN(PROPER(peakflow_q1_2025_dirty!E155)))</f>
        <v>Marcus Johnson</v>
      </c>
      <c r="F154" s="1" t="str">
        <f>TRIM(CLEAN(PROPER(peakflow_q1_2025_dirty!F155)))</f>
        <v>Sarah Chen</v>
      </c>
      <c r="G154" s="1" t="str">
        <f>TRIM(CLEAN(PROPER(peakflow_q1_2025_dirty!G155)))</f>
        <v>North America</v>
      </c>
      <c r="H154" s="1">
        <f>VALUE(TRIM((CLEAN(peakflow_q1_2025_dirty!H155))))</f>
        <v>1</v>
      </c>
      <c r="I154" s="8">
        <f>VALUE(SUBSTITUTE(peakflow_q1_2025_dirty!I155,".","," ))</f>
        <v>67.42</v>
      </c>
      <c r="J154" s="8">
        <f t="shared" si="1"/>
        <v>67.42</v>
      </c>
      <c r="K154" s="1" t="str">
        <f t="shared" si="2"/>
        <v>Februar</v>
      </c>
      <c r="M154" s="1">
        <f t="shared" si="3"/>
        <v>1</v>
      </c>
      <c r="N154" s="8">
        <f t="shared" si="4"/>
        <v>67.42</v>
      </c>
      <c r="O154" s="1" t="str">
        <f t="shared" si="5"/>
        <v>#N/A</v>
      </c>
      <c r="P154" s="1" t="str">
        <f t="shared" si="6"/>
        <v>#N/A</v>
      </c>
      <c r="Q154" s="1" t="str">
        <f t="shared" si="7"/>
        <v>#N/A</v>
      </c>
      <c r="R154" s="1" t="str">
        <f t="shared" si="8"/>
        <v>#N/A</v>
      </c>
      <c r="S154" s="1" t="str">
        <f t="shared" si="9"/>
        <v>#N/A</v>
      </c>
      <c r="T154" s="1" t="str">
        <f t="shared" si="10"/>
        <v>#N/A</v>
      </c>
      <c r="U154" s="1" t="str">
        <f t="shared" si="11"/>
        <v>#N/A</v>
      </c>
      <c r="V154" s="1" t="str">
        <f t="shared" si="12"/>
        <v>#N/A</v>
      </c>
      <c r="W154" s="1" t="str">
        <f t="shared" si="13"/>
        <v>#N/A</v>
      </c>
      <c r="X154" s="1" t="str">
        <f t="shared" si="14"/>
        <v>#N/A</v>
      </c>
    </row>
    <row r="155">
      <c r="A155" s="1" t="str">
        <f>TRIM(CLEAN(PROPER(peakflow_q1_2025_dirty!A156)))</f>
        <v>D-1097</v>
      </c>
      <c r="B155" s="10">
        <f>DATEVALUE(TRIM(CLEAN(peakflow_q1_2025_dirty!B156)))</f>
        <v>45712</v>
      </c>
      <c r="C155" s="1" t="str">
        <f>TRIM(CLEAN(PROPER(peakflow_q1_2025_dirty!C156)))</f>
        <v>Verdant Inc</v>
      </c>
      <c r="D155" s="1" t="str">
        <f>TRIM(CLEAN(PROPER(peakflow_q1_2025_dirty!D156)))</f>
        <v>Business Plan</v>
      </c>
      <c r="E155" s="1" t="str">
        <f>TRIM(CLEAN(PROPER(peakflow_q1_2025_dirty!E156)))</f>
        <v>Priya Patel</v>
      </c>
      <c r="F155" s="1" t="str">
        <f>TRIM(CLEAN(PROPER(peakflow_q1_2025_dirty!F156)))</f>
        <v>Maya Rodriguez</v>
      </c>
      <c r="G155" s="1" t="str">
        <f>TRIM(CLEAN(PROPER(peakflow_q1_2025_dirty!G156)))</f>
        <v>North America</v>
      </c>
      <c r="H155" s="1">
        <f>VALUE(TRIM((CLEAN(peakflow_q1_2025_dirty!H156))))</f>
        <v>1</v>
      </c>
      <c r="I155" s="8">
        <f>VALUE(SUBSTITUTE(peakflow_q1_2025_dirty!I156,".","," ))</f>
        <v>486.21</v>
      </c>
      <c r="J155" s="8">
        <f t="shared" si="1"/>
        <v>486.21</v>
      </c>
      <c r="K155" s="1" t="str">
        <f t="shared" si="2"/>
        <v>Februar</v>
      </c>
      <c r="M155" s="1" t="str">
        <f t="shared" si="3"/>
        <v>#N/A</v>
      </c>
      <c r="N155" s="1" t="str">
        <f t="shared" si="4"/>
        <v>#N/A</v>
      </c>
      <c r="O155" s="1" t="str">
        <f t="shared" si="5"/>
        <v>#N/A</v>
      </c>
      <c r="P155" s="1" t="str">
        <f t="shared" si="6"/>
        <v>#N/A</v>
      </c>
      <c r="Q155" s="1">
        <f t="shared" si="7"/>
        <v>1</v>
      </c>
      <c r="R155" s="8">
        <f t="shared" si="8"/>
        <v>486.21</v>
      </c>
      <c r="S155" s="1" t="str">
        <f t="shared" si="9"/>
        <v>#N/A</v>
      </c>
      <c r="T155" s="1" t="str">
        <f t="shared" si="10"/>
        <v>#N/A</v>
      </c>
      <c r="U155" s="1" t="str">
        <f t="shared" si="11"/>
        <v>#N/A</v>
      </c>
      <c r="V155" s="1" t="str">
        <f t="shared" si="12"/>
        <v>#N/A</v>
      </c>
      <c r="W155" s="1" t="str">
        <f t="shared" si="13"/>
        <v>#N/A</v>
      </c>
      <c r="X155" s="1" t="str">
        <f t="shared" si="14"/>
        <v>#N/A</v>
      </c>
    </row>
    <row r="156">
      <c r="A156" s="1" t="str">
        <f>TRIM(CLEAN(PROPER(peakflow_q1_2025_dirty!A157)))</f>
        <v>D-1159</v>
      </c>
      <c r="B156" s="10">
        <f>DATEVALUE(TRIM(CLEAN(peakflow_q1_2025_dirty!B157)))</f>
        <v>45712</v>
      </c>
      <c r="C156" s="1" t="str">
        <f>TRIM(CLEAN(PROPER(peakflow_q1_2025_dirty!C157)))</f>
        <v>Phoenix Co</v>
      </c>
      <c r="D156" s="1" t="str">
        <f>TRIM(CLEAN(PROPER(peakflow_q1_2025_dirty!D157)))</f>
        <v>Enterprise Plan</v>
      </c>
      <c r="E156" s="1" t="str">
        <f>TRIM(CLEAN(PROPER(peakflow_q1_2025_dirty!E157)))</f>
        <v>Carlos Mendez</v>
      </c>
      <c r="F156" s="1" t="str">
        <f>TRIM(CLEAN(PROPER(peakflow_q1_2025_dirty!F157)))</f>
        <v>Maya Rodriguez</v>
      </c>
      <c r="G156" s="1" t="str">
        <f>TRIM(CLEAN(PROPER(peakflow_q1_2025_dirty!G157)))</f>
        <v>North America</v>
      </c>
      <c r="H156" s="1">
        <f>VALUE(TRIM((CLEAN(peakflow_q1_2025_dirty!H157))))</f>
        <v>1</v>
      </c>
      <c r="I156" s="8">
        <f>VALUE(SUBSTITUTE(peakflow_q1_2025_dirty!I157,".","," ))</f>
        <v>985.63</v>
      </c>
      <c r="J156" s="8">
        <f t="shared" si="1"/>
        <v>985.63</v>
      </c>
      <c r="K156" s="1" t="str">
        <f t="shared" si="2"/>
        <v>Februar</v>
      </c>
      <c r="M156" s="1" t="str">
        <f t="shared" si="3"/>
        <v>#N/A</v>
      </c>
      <c r="N156" s="1" t="str">
        <f t="shared" si="4"/>
        <v>#N/A</v>
      </c>
      <c r="O156" s="1" t="str">
        <f t="shared" si="5"/>
        <v>#N/A</v>
      </c>
      <c r="P156" s="1" t="str">
        <f t="shared" si="6"/>
        <v>#N/A</v>
      </c>
      <c r="Q156" s="1" t="str">
        <f t="shared" si="7"/>
        <v>#N/A</v>
      </c>
      <c r="R156" s="1" t="str">
        <f t="shared" si="8"/>
        <v>#N/A</v>
      </c>
      <c r="S156" s="1">
        <f t="shared" si="9"/>
        <v>1</v>
      </c>
      <c r="T156" s="8">
        <f t="shared" si="10"/>
        <v>985.63</v>
      </c>
      <c r="U156" s="1" t="str">
        <f t="shared" si="11"/>
        <v>#N/A</v>
      </c>
      <c r="V156" s="1" t="str">
        <f t="shared" si="12"/>
        <v>#N/A</v>
      </c>
      <c r="W156" s="1" t="str">
        <f t="shared" si="13"/>
        <v>#N/A</v>
      </c>
      <c r="X156" s="1" t="str">
        <f t="shared" si="14"/>
        <v>#N/A</v>
      </c>
    </row>
    <row r="157">
      <c r="A157" s="1" t="str">
        <f>TRIM(CLEAN(PROPER(peakflow_q1_2025_dirty!A158)))</f>
        <v>D-1095</v>
      </c>
      <c r="B157" s="10">
        <f>DATEVALUE(TRIM(CLEAN(peakflow_q1_2025_dirty!B158)))</f>
        <v>45713</v>
      </c>
      <c r="C157" s="1" t="str">
        <f>TRIM(CLEAN(PROPER(peakflow_q1_2025_dirty!C158)))</f>
        <v>Rivet Co</v>
      </c>
      <c r="D157" s="1" t="str">
        <f>TRIM(CLEAN(PROPER(peakflow_q1_2025_dirty!D158)))</f>
        <v>Starter Plan</v>
      </c>
      <c r="E157" s="1" t="str">
        <f>TRIM(CLEAN(PROPER(peakflow_q1_2025_dirty!E158)))</f>
        <v>Raj Sharma</v>
      </c>
      <c r="F157" s="1" t="str">
        <f>TRIM(CLEAN(PROPER(peakflow_q1_2025_dirty!F158)))</f>
        <v>Owen Walsh</v>
      </c>
      <c r="G157" s="1" t="str">
        <f>TRIM(CLEAN(UPPER(peakflow_q1_2025_dirty!G158)))</f>
        <v>APAC</v>
      </c>
      <c r="H157" s="1">
        <f>VALUE(TRIM((CLEAN(peakflow_q1_2025_dirty!H158))))</f>
        <v>2</v>
      </c>
      <c r="I157" s="8">
        <f>VALUE(SUBSTITUTE(peakflow_q1_2025_dirty!I158,".","," ))</f>
        <v>46.11</v>
      </c>
      <c r="J157" s="8">
        <f t="shared" si="1"/>
        <v>92.22</v>
      </c>
      <c r="K157" s="1" t="str">
        <f t="shared" si="2"/>
        <v>Februar</v>
      </c>
      <c r="M157" s="1" t="str">
        <f t="shared" si="3"/>
        <v>#N/A</v>
      </c>
      <c r="N157" s="1" t="str">
        <f t="shared" si="4"/>
        <v>#N/A</v>
      </c>
      <c r="O157" s="1" t="str">
        <f t="shared" si="5"/>
        <v>#N/A</v>
      </c>
      <c r="P157" s="1" t="str">
        <f t="shared" si="6"/>
        <v>#N/A</v>
      </c>
      <c r="Q157" s="1" t="str">
        <f t="shared" si="7"/>
        <v>#N/A</v>
      </c>
      <c r="R157" s="1" t="str">
        <f t="shared" si="8"/>
        <v>#N/A</v>
      </c>
      <c r="S157" s="1" t="str">
        <f t="shared" si="9"/>
        <v>#N/A</v>
      </c>
      <c r="T157" s="1" t="str">
        <f t="shared" si="10"/>
        <v>#N/A</v>
      </c>
      <c r="U157" s="1" t="str">
        <f t="shared" si="11"/>
        <v>#N/A</v>
      </c>
      <c r="V157" s="1" t="str">
        <f t="shared" si="12"/>
        <v>#N/A</v>
      </c>
      <c r="W157" s="1">
        <f t="shared" si="13"/>
        <v>2</v>
      </c>
      <c r="X157" s="8">
        <f t="shared" si="14"/>
        <v>46.11</v>
      </c>
    </row>
    <row r="158">
      <c r="A158" s="1" t="str">
        <f>TRIM(CLEAN(PROPER(peakflow_q1_2025_dirty!A159)))</f>
        <v>D-1236</v>
      </c>
      <c r="B158" s="10">
        <f>DATEVALUE(TRIM(CLEAN(peakflow_q1_2025_dirty!B159)))</f>
        <v>45713</v>
      </c>
      <c r="C158" s="1" t="str">
        <f>TRIM(CLEAN(PROPER(peakflow_q1_2025_dirty!C159)))</f>
        <v>Harbor Inc</v>
      </c>
      <c r="D158" s="1" t="str">
        <f>TRIM(CLEAN(PROPER(peakflow_q1_2025_dirty!D159)))</f>
        <v>Pro Plan</v>
      </c>
      <c r="E158" s="1" t="str">
        <f>TRIM(CLEAN(PROPER(peakflow_q1_2025_dirty!E159)))</f>
        <v>Carlos Mendez</v>
      </c>
      <c r="F158" s="1" t="str">
        <f>TRIM(CLEAN(PROPER(peakflow_q1_2025_dirty!F159)))</f>
        <v>Maya Rodriguez</v>
      </c>
      <c r="G158" s="1" t="str">
        <f>TRIM(CLEAN(UPPER(peakflow_q1_2025_dirty!G159)))</f>
        <v>LATAM</v>
      </c>
      <c r="H158" s="1">
        <f>VALUE(TRIM((CLEAN(peakflow_q1_2025_dirty!H159))))</f>
        <v>5</v>
      </c>
      <c r="I158" s="8">
        <f>VALUE(SUBSTITUTE(peakflow_q1_2025_dirty!I159,".","," ))</f>
        <v>289.32</v>
      </c>
      <c r="J158" s="8">
        <f t="shared" si="1"/>
        <v>1446.6</v>
      </c>
      <c r="K158" s="1" t="str">
        <f t="shared" si="2"/>
        <v>Februar</v>
      </c>
      <c r="M158" s="1" t="str">
        <f t="shared" si="3"/>
        <v>#N/A</v>
      </c>
      <c r="N158" s="1" t="str">
        <f t="shared" si="4"/>
        <v>#N/A</v>
      </c>
      <c r="O158" s="1" t="str">
        <f t="shared" si="5"/>
        <v>#N/A</v>
      </c>
      <c r="P158" s="1" t="str">
        <f t="shared" si="6"/>
        <v>#N/A</v>
      </c>
      <c r="Q158" s="1" t="str">
        <f t="shared" si="7"/>
        <v>#N/A</v>
      </c>
      <c r="R158" s="1" t="str">
        <f t="shared" si="8"/>
        <v>#N/A</v>
      </c>
      <c r="S158" s="1" t="str">
        <f t="shared" si="9"/>
        <v>#N/A</v>
      </c>
      <c r="T158" s="1" t="str">
        <f t="shared" si="10"/>
        <v>#N/A</v>
      </c>
      <c r="U158" s="1">
        <f t="shared" si="11"/>
        <v>5</v>
      </c>
      <c r="V158" s="8">
        <f t="shared" si="12"/>
        <v>289.32</v>
      </c>
      <c r="W158" s="1" t="str">
        <f t="shared" si="13"/>
        <v>#N/A</v>
      </c>
      <c r="X158" s="1" t="str">
        <f t="shared" si="14"/>
        <v>#N/A</v>
      </c>
    </row>
    <row r="159">
      <c r="A159" s="1" t="str">
        <f>TRIM(CLEAN(PROPER(peakflow_q1_2025_dirty!A160)))</f>
        <v>D-1020</v>
      </c>
      <c r="B159" s="10">
        <f>DATEVALUE(TRIM(CLEAN(peakflow_q1_2025_dirty!B160)))</f>
        <v>45714</v>
      </c>
      <c r="C159" s="1" t="str">
        <f>TRIM(CLEAN(PROPER(peakflow_q1_2025_dirty!C160)))</f>
        <v>Harbor Inc</v>
      </c>
      <c r="D159" s="1" t="str">
        <f>TRIM(CLEAN(PROPER(peakflow_q1_2025_dirty!D160)))</f>
        <v>Pro Plan</v>
      </c>
      <c r="E159" s="1" t="str">
        <f>TRIM(CLEAN(PROPER(peakflow_q1_2025_dirty!E160)))</f>
        <v>Tom Wilson</v>
      </c>
      <c r="F159" s="1" t="str">
        <f>TRIM(CLEAN(PROPER(peakflow_q1_2025_dirty!F160)))</f>
        <v>Lukas Becker</v>
      </c>
      <c r="G159" s="1" t="str">
        <f>TRIM(CLEAN(UPPER(peakflow_q1_2025_dirty!G160)))</f>
        <v>EMEA</v>
      </c>
      <c r="H159" s="1">
        <f>VALUE(TRIM((CLEAN(peakflow_q1_2025_dirty!H160))))</f>
        <v>10</v>
      </c>
      <c r="I159" s="8">
        <f>VALUE(SUBSTITUTE(peakflow_q1_2025_dirty!I160,".","," ))</f>
        <v>162.02</v>
      </c>
      <c r="J159" s="8">
        <f t="shared" si="1"/>
        <v>1620.2</v>
      </c>
      <c r="K159" s="1" t="str">
        <f t="shared" si="2"/>
        <v>Februar</v>
      </c>
      <c r="M159" s="1" t="str">
        <f t="shared" si="3"/>
        <v>#N/A</v>
      </c>
      <c r="N159" s="1" t="str">
        <f t="shared" si="4"/>
        <v>#N/A</v>
      </c>
      <c r="O159" s="1" t="str">
        <f t="shared" si="5"/>
        <v>#N/A</v>
      </c>
      <c r="P159" s="1" t="str">
        <f t="shared" si="6"/>
        <v>#N/A</v>
      </c>
      <c r="Q159" s="1" t="str">
        <f t="shared" si="7"/>
        <v>#N/A</v>
      </c>
      <c r="R159" s="1" t="str">
        <f t="shared" si="8"/>
        <v>#N/A</v>
      </c>
      <c r="S159" s="1" t="str">
        <f t="shared" si="9"/>
        <v>#N/A</v>
      </c>
      <c r="T159" s="1" t="str">
        <f t="shared" si="10"/>
        <v>#N/A</v>
      </c>
      <c r="U159" s="1">
        <f t="shared" si="11"/>
        <v>10</v>
      </c>
      <c r="V159" s="8">
        <f t="shared" si="12"/>
        <v>162.02</v>
      </c>
      <c r="W159" s="1" t="str">
        <f t="shared" si="13"/>
        <v>#N/A</v>
      </c>
      <c r="X159" s="1" t="str">
        <f t="shared" si="14"/>
        <v>#N/A</v>
      </c>
    </row>
    <row r="160">
      <c r="A160" s="1" t="str">
        <f>TRIM(CLEAN(PROPER(peakflow_q1_2025_dirty!A162)))</f>
        <v>D-1023</v>
      </c>
      <c r="B160" s="10">
        <f>DATEVALUE(TRIM(CLEAN(peakflow_q1_2025_dirty!B162)))</f>
        <v>45714</v>
      </c>
      <c r="C160" s="1" t="str">
        <f>TRIM(CLEAN(PROPER(peakflow_q1_2025_dirty!C162)))</f>
        <v>Rivet Co</v>
      </c>
      <c r="D160" s="1" t="str">
        <f>TRIM(CLEAN(PROPER(peakflow_q1_2025_dirty!D162)))</f>
        <v>Starter Plan</v>
      </c>
      <c r="E160" s="1" t="str">
        <f>TRIM(CLEAN(PROPER(peakflow_q1_2025_dirty!E162)))</f>
        <v>Raj Sharma</v>
      </c>
      <c r="F160" s="1" t="str">
        <f>TRIM(CLEAN(PROPER(peakflow_q1_2025_dirty!F162)))</f>
        <v>Owen Walsh</v>
      </c>
      <c r="G160" s="1" t="str">
        <f>TRIM(CLEAN(UPPER(peakflow_q1_2025_dirty!G162)))</f>
        <v>EMEA</v>
      </c>
      <c r="H160" s="1">
        <f>VALUE(TRIM((CLEAN(peakflow_q1_2025_dirty!H162))))</f>
        <v>20</v>
      </c>
      <c r="I160" s="8">
        <f>VALUE(SUBSTITUTE(peakflow_q1_2025_dirty!I162,".","," ))</f>
        <v>64.75</v>
      </c>
      <c r="J160" s="8">
        <f t="shared" si="1"/>
        <v>1295</v>
      </c>
      <c r="K160" s="1" t="str">
        <f t="shared" si="2"/>
        <v>Februar</v>
      </c>
      <c r="M160" s="1" t="str">
        <f t="shared" si="3"/>
        <v>#N/A</v>
      </c>
      <c r="N160" s="1" t="str">
        <f t="shared" si="4"/>
        <v>#N/A</v>
      </c>
      <c r="O160" s="1" t="str">
        <f t="shared" si="5"/>
        <v>#N/A</v>
      </c>
      <c r="P160" s="1" t="str">
        <f t="shared" si="6"/>
        <v>#N/A</v>
      </c>
      <c r="Q160" s="1" t="str">
        <f t="shared" si="7"/>
        <v>#N/A</v>
      </c>
      <c r="R160" s="1" t="str">
        <f t="shared" si="8"/>
        <v>#N/A</v>
      </c>
      <c r="S160" s="1" t="str">
        <f t="shared" si="9"/>
        <v>#N/A</v>
      </c>
      <c r="T160" s="1" t="str">
        <f t="shared" si="10"/>
        <v>#N/A</v>
      </c>
      <c r="U160" s="1" t="str">
        <f t="shared" si="11"/>
        <v>#N/A</v>
      </c>
      <c r="V160" s="1" t="str">
        <f t="shared" si="12"/>
        <v>#N/A</v>
      </c>
      <c r="W160" s="1">
        <f t="shared" si="13"/>
        <v>20</v>
      </c>
      <c r="X160" s="8">
        <f t="shared" si="14"/>
        <v>64.75</v>
      </c>
    </row>
    <row r="161">
      <c r="A161" s="1" t="str">
        <f>TRIM(CLEAN(PROPER(peakflow_q1_2025_dirty!A163)))</f>
        <v>D-1047</v>
      </c>
      <c r="B161" s="10">
        <f>DATEVALUE(TRIM(CLEAN(peakflow_q1_2025_dirty!B163)))</f>
        <v>45714</v>
      </c>
      <c r="C161" s="1" t="str">
        <f>TRIM(CLEAN(PROPER(peakflow_q1_2025_dirty!C163)))</f>
        <v>Atlas Group</v>
      </c>
      <c r="D161" s="1" t="str">
        <f>TRIM(CLEAN(PROPER(peakflow_q1_2025_dirty!D163)))</f>
        <v>Starter Plan</v>
      </c>
      <c r="E161" s="1" t="str">
        <f>TRIM(CLEAN(PROPER(peakflow_q1_2025_dirty!E163)))</f>
        <v>James Park</v>
      </c>
      <c r="F161" s="1" t="str">
        <f>TRIM(CLEAN(PROPER(peakflow_q1_2025_dirty!F163)))</f>
        <v>Owen Walsh</v>
      </c>
      <c r="G161" s="1" t="str">
        <f>TRIM(CLEAN(PROPER(peakflow_q1_2025_dirty!G163)))</f>
        <v>North America</v>
      </c>
      <c r="H161" s="1">
        <f>VALUE(TRIM((CLEAN(peakflow_q1_2025_dirty!H163))))</f>
        <v>20</v>
      </c>
      <c r="I161" s="8">
        <f>VALUE(SUBSTITUTE(peakflow_q1_2025_dirty!I163,".","," ))</f>
        <v>110.31</v>
      </c>
      <c r="J161" s="8">
        <f t="shared" si="1"/>
        <v>2206.2</v>
      </c>
      <c r="K161" s="1" t="str">
        <f t="shared" si="2"/>
        <v>Februar</v>
      </c>
      <c r="M161" s="1" t="str">
        <f t="shared" si="3"/>
        <v>#N/A</v>
      </c>
      <c r="N161" s="1" t="str">
        <f t="shared" si="4"/>
        <v>#N/A</v>
      </c>
      <c r="O161" s="1" t="str">
        <f t="shared" si="5"/>
        <v>#N/A</v>
      </c>
      <c r="P161" s="1" t="str">
        <f t="shared" si="6"/>
        <v>#N/A</v>
      </c>
      <c r="Q161" s="1" t="str">
        <f t="shared" si="7"/>
        <v>#N/A</v>
      </c>
      <c r="R161" s="1" t="str">
        <f t="shared" si="8"/>
        <v>#N/A</v>
      </c>
      <c r="S161" s="1" t="str">
        <f t="shared" si="9"/>
        <v>#N/A</v>
      </c>
      <c r="T161" s="1" t="str">
        <f t="shared" si="10"/>
        <v>#N/A</v>
      </c>
      <c r="U161" s="1" t="str">
        <f t="shared" si="11"/>
        <v>#N/A</v>
      </c>
      <c r="V161" s="1" t="str">
        <f t="shared" si="12"/>
        <v>#N/A</v>
      </c>
      <c r="W161" s="1">
        <f t="shared" si="13"/>
        <v>20</v>
      </c>
      <c r="X161" s="8">
        <f t="shared" si="14"/>
        <v>110.31</v>
      </c>
    </row>
    <row r="162">
      <c r="A162" s="1" t="str">
        <f>TRIM(CLEAN(PROPER(peakflow_q1_2025_dirty!A164)))</f>
        <v>D-1074</v>
      </c>
      <c r="B162" s="10">
        <f>DATEVALUE(TRIM(CLEAN(peakflow_q1_2025_dirty!B164)))</f>
        <v>45714</v>
      </c>
      <c r="C162" s="1" t="str">
        <f>TRIM(CLEAN(PROPER(peakflow_q1_2025_dirty!C164)))</f>
        <v>Cascade Group</v>
      </c>
      <c r="D162" s="1" t="str">
        <f>TRIM(CLEAN(PROPER(peakflow_q1_2025_dirty!D164)))</f>
        <v>Starter Plan</v>
      </c>
      <c r="E162" s="1" t="str">
        <f>TRIM(CLEAN(PROPER(peakflow_q1_2025_dirty!E164)))</f>
        <v>Marcus Johnson</v>
      </c>
      <c r="F162" s="1" t="str">
        <f>TRIM(CLEAN(PROPER(peakflow_q1_2025_dirty!F164)))</f>
        <v>Sarah Chen</v>
      </c>
      <c r="G162" s="1" t="str">
        <f>TRIM(CLEAN(UPPER(peakflow_q1_2025_dirty!G164)))</f>
        <v>LATAM</v>
      </c>
      <c r="H162" s="1">
        <f>VALUE(TRIM((CLEAN(peakflow_q1_2025_dirty!H164))))</f>
        <v>1</v>
      </c>
      <c r="I162" s="8">
        <f>VALUE(SUBSTITUTE(peakflow_q1_2025_dirty!I164,".","," ))</f>
        <v>70.58</v>
      </c>
      <c r="J162" s="8">
        <f t="shared" si="1"/>
        <v>70.58</v>
      </c>
      <c r="K162" s="1" t="str">
        <f t="shared" si="2"/>
        <v>Februar</v>
      </c>
      <c r="M162" s="1" t="str">
        <f t="shared" si="3"/>
        <v>#N/A</v>
      </c>
      <c r="N162" s="1" t="str">
        <f t="shared" si="4"/>
        <v>#N/A</v>
      </c>
      <c r="O162" s="1" t="str">
        <f t="shared" si="5"/>
        <v>#N/A</v>
      </c>
      <c r="P162" s="1" t="str">
        <f t="shared" si="6"/>
        <v>#N/A</v>
      </c>
      <c r="Q162" s="1" t="str">
        <f t="shared" si="7"/>
        <v>#N/A</v>
      </c>
      <c r="R162" s="1" t="str">
        <f t="shared" si="8"/>
        <v>#N/A</v>
      </c>
      <c r="S162" s="1" t="str">
        <f t="shared" si="9"/>
        <v>#N/A</v>
      </c>
      <c r="T162" s="1" t="str">
        <f t="shared" si="10"/>
        <v>#N/A</v>
      </c>
      <c r="U162" s="1" t="str">
        <f t="shared" si="11"/>
        <v>#N/A</v>
      </c>
      <c r="V162" s="1" t="str">
        <f t="shared" si="12"/>
        <v>#N/A</v>
      </c>
      <c r="W162" s="1">
        <f t="shared" si="13"/>
        <v>1</v>
      </c>
      <c r="X162" s="8">
        <f t="shared" si="14"/>
        <v>70.58</v>
      </c>
    </row>
    <row r="163">
      <c r="A163" s="1" t="str">
        <f>TRIM(CLEAN(PROPER(peakflow_q1_2025_dirty!A165)))</f>
        <v>D-1240</v>
      </c>
      <c r="B163" s="10">
        <f>DATEVALUE(TRIM(CLEAN(peakflow_q1_2025_dirty!B165)))</f>
        <v>45714</v>
      </c>
      <c r="C163" s="1" t="str">
        <f>TRIM(CLEAN(PROPER(peakflow_q1_2025_dirty!C165)))</f>
        <v>Driftwood Co</v>
      </c>
      <c r="D163" s="1" t="str">
        <f>TRIM(CLEAN(PROPER(peakflow_q1_2025_dirty!D165)))</f>
        <v>Pro Plan</v>
      </c>
      <c r="E163" s="1" t="str">
        <f>TRIM(CLEAN(PROPER(peakflow_q1_2025_dirty!E165)))</f>
        <v>Raj Sharma</v>
      </c>
      <c r="F163" s="1" t="str">
        <f>TRIM(CLEAN(PROPER(peakflow_q1_2025_dirty!F165)))</f>
        <v>Owen Walsh</v>
      </c>
      <c r="G163" s="1" t="str">
        <f>TRIM(CLEAN(UPPER(peakflow_q1_2025_dirty!G165)))</f>
        <v>APAC</v>
      </c>
      <c r="H163" s="1">
        <f>VALUE(TRIM((CLEAN(peakflow_q1_2025_dirty!H165))))</f>
        <v>1</v>
      </c>
      <c r="I163" s="8">
        <f>VALUE(SUBSTITUTE(peakflow_q1_2025_dirty!I165,".","," ))</f>
        <v>244.89</v>
      </c>
      <c r="J163" s="8">
        <f t="shared" si="1"/>
        <v>244.89</v>
      </c>
      <c r="K163" s="1" t="str">
        <f t="shared" si="2"/>
        <v>Februar</v>
      </c>
      <c r="M163" s="1" t="str">
        <f t="shared" si="3"/>
        <v>#N/A</v>
      </c>
      <c r="N163" s="1" t="str">
        <f t="shared" si="4"/>
        <v>#N/A</v>
      </c>
      <c r="O163" s="1" t="str">
        <f t="shared" si="5"/>
        <v>#N/A</v>
      </c>
      <c r="P163" s="1" t="str">
        <f t="shared" si="6"/>
        <v>#N/A</v>
      </c>
      <c r="Q163" s="1" t="str">
        <f t="shared" si="7"/>
        <v>#N/A</v>
      </c>
      <c r="R163" s="1" t="str">
        <f t="shared" si="8"/>
        <v>#N/A</v>
      </c>
      <c r="S163" s="1" t="str">
        <f t="shared" si="9"/>
        <v>#N/A</v>
      </c>
      <c r="T163" s="1" t="str">
        <f t="shared" si="10"/>
        <v>#N/A</v>
      </c>
      <c r="U163" s="1">
        <f t="shared" si="11"/>
        <v>1</v>
      </c>
      <c r="V163" s="8">
        <f t="shared" si="12"/>
        <v>244.89</v>
      </c>
      <c r="W163" s="1" t="str">
        <f t="shared" si="13"/>
        <v>#N/A</v>
      </c>
      <c r="X163" s="1" t="str">
        <f t="shared" si="14"/>
        <v>#N/A</v>
      </c>
    </row>
    <row r="164">
      <c r="A164" s="1" t="str">
        <f>TRIM(CLEAN(PROPER(peakflow_q1_2025_dirty!A166)))</f>
        <v>D-1032</v>
      </c>
      <c r="B164" s="10">
        <f>DATEVALUE(TRIM(CLEAN(peakflow_q1_2025_dirty!B166)))</f>
        <v>45715</v>
      </c>
      <c r="C164" s="1" t="str">
        <f>TRIM(CLEAN(PROPER(peakflow_q1_2025_dirty!C166)))</f>
        <v>Arcadia Inc</v>
      </c>
      <c r="D164" s="1" t="str">
        <f>TRIM(CLEAN(PROPER(peakflow_q1_2025_dirty!D166)))</f>
        <v>Starter Plan</v>
      </c>
      <c r="E164" s="1" t="str">
        <f>TRIM(CLEAN(PROPER(peakflow_q1_2025_dirty!E166)))</f>
        <v>Hannah Lee</v>
      </c>
      <c r="F164" s="1" t="str">
        <f>TRIM(CLEAN(PROPER(peakflow_q1_2025_dirty!F166)))</f>
        <v>Owen Walsh</v>
      </c>
      <c r="G164" s="1" t="str">
        <f>TRIM(CLEAN(UPPER(peakflow_q1_2025_dirty!G166)))</f>
        <v>EMEA</v>
      </c>
      <c r="H164" s="1">
        <f>VALUE(TRIM((CLEAN(peakflow_q1_2025_dirty!H166))))</f>
        <v>1</v>
      </c>
      <c r="I164" s="8">
        <f>VALUE(SUBSTITUTE(peakflow_q1_2025_dirty!I166,".","," ))</f>
        <v>45.23</v>
      </c>
      <c r="J164" s="8">
        <f t="shared" si="1"/>
        <v>45.23</v>
      </c>
      <c r="K164" s="1" t="str">
        <f t="shared" si="2"/>
        <v>Februar</v>
      </c>
      <c r="M164" s="1" t="str">
        <f t="shared" si="3"/>
        <v>#N/A</v>
      </c>
      <c r="N164" s="1" t="str">
        <f t="shared" si="4"/>
        <v>#N/A</v>
      </c>
      <c r="O164" s="1" t="str">
        <f t="shared" si="5"/>
        <v>#N/A</v>
      </c>
      <c r="P164" s="1" t="str">
        <f t="shared" si="6"/>
        <v>#N/A</v>
      </c>
      <c r="Q164" s="1" t="str">
        <f t="shared" si="7"/>
        <v>#N/A</v>
      </c>
      <c r="R164" s="1" t="str">
        <f t="shared" si="8"/>
        <v>#N/A</v>
      </c>
      <c r="S164" s="1" t="str">
        <f t="shared" si="9"/>
        <v>#N/A</v>
      </c>
      <c r="T164" s="1" t="str">
        <f t="shared" si="10"/>
        <v>#N/A</v>
      </c>
      <c r="U164" s="1" t="str">
        <f t="shared" si="11"/>
        <v>#N/A</v>
      </c>
      <c r="V164" s="1" t="str">
        <f t="shared" si="12"/>
        <v>#N/A</v>
      </c>
      <c r="W164" s="1">
        <f t="shared" si="13"/>
        <v>1</v>
      </c>
      <c r="X164" s="8">
        <f t="shared" si="14"/>
        <v>45.23</v>
      </c>
    </row>
    <row r="165">
      <c r="A165" s="1" t="str">
        <f>TRIM(CLEAN(PROPER(peakflow_q1_2025_dirty!A167)))</f>
        <v>D-1056</v>
      </c>
      <c r="B165" s="10">
        <f>DATEVALUE(TRIM(CLEAN(peakflow_q1_2025_dirty!B167)))</f>
        <v>45715</v>
      </c>
      <c r="C165" s="1" t="str">
        <f>TRIM(CLEAN(PROPER(peakflow_q1_2025_dirty!C167)))</f>
        <v>Orbit Co</v>
      </c>
      <c r="D165" s="1" t="str">
        <f>TRIM(CLEAN(PROPER(peakflow_q1_2025_dirty!D167)))</f>
        <v>Starter Plan</v>
      </c>
      <c r="E165" s="1" t="str">
        <f>TRIM(CLEAN(PROPER(peakflow_q1_2025_dirty!E167)))</f>
        <v>Aisha Hassan</v>
      </c>
      <c r="F165" s="1" t="str">
        <f>TRIM(CLEAN(PROPER(peakflow_q1_2025_dirty!F167)))</f>
        <v>Sarah Chen</v>
      </c>
      <c r="G165" s="1" t="str">
        <f>TRIM(CLEAN(UPPER(peakflow_q1_2025_dirty!G167)))</f>
        <v>LATAM</v>
      </c>
      <c r="H165" s="1">
        <f>VALUE(TRIM((CLEAN(peakflow_q1_2025_dirty!H167))))</f>
        <v>2</v>
      </c>
      <c r="I165" s="8">
        <f>VALUE(SUBSTITUTE(peakflow_q1_2025_dirty!I167,".","," ))</f>
        <v>77.48</v>
      </c>
      <c r="J165" s="8">
        <f t="shared" si="1"/>
        <v>154.96</v>
      </c>
      <c r="K165" s="1" t="str">
        <f t="shared" si="2"/>
        <v>Februar</v>
      </c>
      <c r="M165" s="1" t="str">
        <f t="shared" si="3"/>
        <v>#N/A</v>
      </c>
      <c r="N165" s="1" t="str">
        <f t="shared" si="4"/>
        <v>#N/A</v>
      </c>
      <c r="O165" s="1" t="str">
        <f t="shared" si="5"/>
        <v>#N/A</v>
      </c>
      <c r="P165" s="1" t="str">
        <f t="shared" si="6"/>
        <v>#N/A</v>
      </c>
      <c r="Q165" s="1" t="str">
        <f t="shared" si="7"/>
        <v>#N/A</v>
      </c>
      <c r="R165" s="1" t="str">
        <f t="shared" si="8"/>
        <v>#N/A</v>
      </c>
      <c r="S165" s="1" t="str">
        <f t="shared" si="9"/>
        <v>#N/A</v>
      </c>
      <c r="T165" s="1" t="str">
        <f t="shared" si="10"/>
        <v>#N/A</v>
      </c>
      <c r="U165" s="1" t="str">
        <f t="shared" si="11"/>
        <v>#N/A</v>
      </c>
      <c r="V165" s="1" t="str">
        <f t="shared" si="12"/>
        <v>#N/A</v>
      </c>
      <c r="W165" s="1">
        <f t="shared" si="13"/>
        <v>2</v>
      </c>
      <c r="X165" s="8">
        <f t="shared" si="14"/>
        <v>77.48</v>
      </c>
    </row>
    <row r="166">
      <c r="A166" s="1" t="str">
        <f>TRIM(CLEAN(PROPER(peakflow_q1_2025_dirty!A168)))</f>
        <v>D-1184</v>
      </c>
      <c r="B166" s="10">
        <f>DATEVALUE(TRIM(CLEAN(peakflow_q1_2025_dirty!B168)))</f>
        <v>45715</v>
      </c>
      <c r="C166" s="1" t="str">
        <f>TRIM(CLEAN(PROPER(peakflow_q1_2025_dirty!C168)))</f>
        <v>Quill Labs</v>
      </c>
      <c r="D166" s="1" t="str">
        <f>TRIM(CLEAN(PROPER(peakflow_q1_2025_dirty!D168)))</f>
        <v>Pro Plan</v>
      </c>
      <c r="E166" s="1" t="str">
        <f>TRIM(CLEAN(PROPER(peakflow_q1_2025_dirty!E168)))</f>
        <v>Hannah Lee</v>
      </c>
      <c r="F166" s="1" t="str">
        <f>TRIM(CLEAN(PROPER(peakflow_q1_2025_dirty!F168)))</f>
        <v>Owen Walsh</v>
      </c>
      <c r="G166" s="1" t="str">
        <f>TRIM(CLEAN(UPPER(peakflow_q1_2025_dirty!G168)))</f>
        <v>APAC</v>
      </c>
      <c r="H166" s="1">
        <f>VALUE(TRIM((CLEAN(peakflow_q1_2025_dirty!H168))))</f>
        <v>5</v>
      </c>
      <c r="I166" s="8">
        <f>VALUE(SUBSTITUTE(peakflow_q1_2025_dirty!I168,".","," ))</f>
        <v>259.85</v>
      </c>
      <c r="J166" s="8">
        <f t="shared" si="1"/>
        <v>1299.25</v>
      </c>
      <c r="K166" s="1" t="str">
        <f t="shared" si="2"/>
        <v>Februar</v>
      </c>
      <c r="M166" s="1" t="str">
        <f t="shared" si="3"/>
        <v>#N/A</v>
      </c>
      <c r="N166" s="1" t="str">
        <f t="shared" si="4"/>
        <v>#N/A</v>
      </c>
      <c r="O166" s="1" t="str">
        <f t="shared" si="5"/>
        <v>#N/A</v>
      </c>
      <c r="P166" s="1" t="str">
        <f t="shared" si="6"/>
        <v>#N/A</v>
      </c>
      <c r="Q166" s="1" t="str">
        <f t="shared" si="7"/>
        <v>#N/A</v>
      </c>
      <c r="R166" s="1" t="str">
        <f t="shared" si="8"/>
        <v>#N/A</v>
      </c>
      <c r="S166" s="1" t="str">
        <f t="shared" si="9"/>
        <v>#N/A</v>
      </c>
      <c r="T166" s="1" t="str">
        <f t="shared" si="10"/>
        <v>#N/A</v>
      </c>
      <c r="U166" s="1">
        <f t="shared" si="11"/>
        <v>5</v>
      </c>
      <c r="V166" s="8">
        <f t="shared" si="12"/>
        <v>259.85</v>
      </c>
      <c r="W166" s="1" t="str">
        <f t="shared" si="13"/>
        <v>#N/A</v>
      </c>
      <c r="X166" s="1" t="str">
        <f t="shared" si="14"/>
        <v>#N/A</v>
      </c>
    </row>
    <row r="167">
      <c r="A167" s="1" t="str">
        <f>TRIM(CLEAN(PROPER(peakflow_q1_2025_dirty!A169)))</f>
        <v>D-1217</v>
      </c>
      <c r="B167" s="10">
        <f>DATEVALUE(TRIM(CLEAN(peakflow_q1_2025_dirty!B169)))</f>
        <v>45715</v>
      </c>
      <c r="C167" s="1" t="str">
        <f>TRIM(CLEAN(PROPER(peakflow_q1_2025_dirty!C169)))</f>
        <v>Pacific Co</v>
      </c>
      <c r="D167" s="1" t="str">
        <f>TRIM(CLEAN(PROPER(peakflow_q1_2025_dirty!D169)))</f>
        <v>Pro Plan</v>
      </c>
      <c r="E167" s="1" t="str">
        <f>TRIM(CLEAN(PROPER(peakflow_q1_2025_dirty!E169)))</f>
        <v>Aisha Hassan</v>
      </c>
      <c r="F167" s="1" t="str">
        <f>TRIM(CLEAN(PROPER(peakflow_q1_2025_dirty!F169)))</f>
        <v>Sarah Chen</v>
      </c>
      <c r="G167" s="1" t="str">
        <f>TRIM(CLEAN(PROPER(peakflow_q1_2025_dirty!G169)))</f>
        <v>North America</v>
      </c>
      <c r="H167" s="1">
        <f>VALUE(TRIM((CLEAN(peakflow_q1_2025_dirty!H169))))</f>
        <v>1</v>
      </c>
      <c r="I167" s="8">
        <f>VALUE(SUBSTITUTE(peakflow_q1_2025_dirty!I169,".","," ))</f>
        <v>293.39</v>
      </c>
      <c r="J167" s="8">
        <f t="shared" si="1"/>
        <v>293.39</v>
      </c>
      <c r="K167" s="1" t="str">
        <f t="shared" si="2"/>
        <v>Februar</v>
      </c>
      <c r="M167" s="1" t="str">
        <f t="shared" si="3"/>
        <v>#N/A</v>
      </c>
      <c r="N167" s="1" t="str">
        <f t="shared" si="4"/>
        <v>#N/A</v>
      </c>
      <c r="O167" s="1" t="str">
        <f t="shared" si="5"/>
        <v>#N/A</v>
      </c>
      <c r="P167" s="1" t="str">
        <f t="shared" si="6"/>
        <v>#N/A</v>
      </c>
      <c r="Q167" s="1" t="str">
        <f t="shared" si="7"/>
        <v>#N/A</v>
      </c>
      <c r="R167" s="1" t="str">
        <f t="shared" si="8"/>
        <v>#N/A</v>
      </c>
      <c r="S167" s="1" t="str">
        <f t="shared" si="9"/>
        <v>#N/A</v>
      </c>
      <c r="T167" s="1" t="str">
        <f t="shared" si="10"/>
        <v>#N/A</v>
      </c>
      <c r="U167" s="1">
        <f t="shared" si="11"/>
        <v>1</v>
      </c>
      <c r="V167" s="8">
        <f t="shared" si="12"/>
        <v>293.39</v>
      </c>
      <c r="W167" s="1" t="str">
        <f t="shared" si="13"/>
        <v>#N/A</v>
      </c>
      <c r="X167" s="1" t="str">
        <f t="shared" si="14"/>
        <v>#N/A</v>
      </c>
    </row>
    <row r="168">
      <c r="A168" s="1" t="str">
        <f>TRIM(CLEAN(PROPER(peakflow_q1_2025_dirty!A170)))</f>
        <v>D-1076</v>
      </c>
      <c r="B168" s="10">
        <f>DATEVALUE(TRIM(CLEAN(peakflow_q1_2025_dirty!B170)))</f>
        <v>45716</v>
      </c>
      <c r="C168" s="1" t="str">
        <f>TRIM(CLEAN(PROPER(peakflow_q1_2025_dirty!C170)))</f>
        <v>Fusion Group</v>
      </c>
      <c r="D168" s="1" t="str">
        <f>TRIM(CLEAN(PROPER(peakflow_q1_2025_dirty!D170)))</f>
        <v>Pro Plan</v>
      </c>
      <c r="E168" s="1" t="str">
        <f>TRIM(CLEAN(PROPER(peakflow_q1_2025_dirty!E170)))</f>
        <v>James Park</v>
      </c>
      <c r="F168" s="1" t="str">
        <f>TRIM(CLEAN(PROPER(peakflow_q1_2025_dirty!F170)))</f>
        <v>Owen Walsh</v>
      </c>
      <c r="G168" s="1" t="str">
        <f>TRIM(CLEAN(UPPER(peakflow_q1_2025_dirty!G170)))</f>
        <v>APAC</v>
      </c>
      <c r="H168" s="1">
        <f>VALUE(TRIM((CLEAN(peakflow_q1_2025_dirty!H170))))</f>
        <v>1</v>
      </c>
      <c r="I168" s="8">
        <f>VALUE(SUBSTITUTE(peakflow_q1_2025_dirty!I170,".","," ))</f>
        <v>288.79</v>
      </c>
      <c r="J168" s="8">
        <f t="shared" si="1"/>
        <v>288.79</v>
      </c>
      <c r="K168" s="1" t="str">
        <f t="shared" si="2"/>
        <v>Februar</v>
      </c>
      <c r="M168" s="1" t="str">
        <f t="shared" si="3"/>
        <v>#N/A</v>
      </c>
      <c r="N168" s="1" t="str">
        <f t="shared" si="4"/>
        <v>#N/A</v>
      </c>
      <c r="O168" s="1" t="str">
        <f t="shared" si="5"/>
        <v>#N/A</v>
      </c>
      <c r="P168" s="1" t="str">
        <f t="shared" si="6"/>
        <v>#N/A</v>
      </c>
      <c r="Q168" s="1" t="str">
        <f t="shared" si="7"/>
        <v>#N/A</v>
      </c>
      <c r="R168" s="1" t="str">
        <f t="shared" si="8"/>
        <v>#N/A</v>
      </c>
      <c r="S168" s="1" t="str">
        <f t="shared" si="9"/>
        <v>#N/A</v>
      </c>
      <c r="T168" s="1" t="str">
        <f t="shared" si="10"/>
        <v>#N/A</v>
      </c>
      <c r="U168" s="1">
        <f t="shared" si="11"/>
        <v>1</v>
      </c>
      <c r="V168" s="8">
        <f t="shared" si="12"/>
        <v>288.79</v>
      </c>
      <c r="W168" s="1" t="str">
        <f t="shared" si="13"/>
        <v>#N/A</v>
      </c>
      <c r="X168" s="1" t="str">
        <f t="shared" si="14"/>
        <v>#N/A</v>
      </c>
    </row>
    <row r="169">
      <c r="A169" s="1" t="str">
        <f>TRIM(CLEAN(PROPER(peakflow_q1_2025_dirty!A171)))</f>
        <v>D-1170</v>
      </c>
      <c r="B169" s="10">
        <f>DATEVALUE(TRIM(CLEAN(peakflow_q1_2025_dirty!B171)))</f>
        <v>45716</v>
      </c>
      <c r="C169" s="1" t="str">
        <f>TRIM(CLEAN(PROPER(peakflow_q1_2025_dirty!C171)))</f>
        <v>Lumen Labs</v>
      </c>
      <c r="D169" s="1" t="str">
        <f>TRIM(CLEAN(PROPER(peakflow_q1_2025_dirty!D171)))</f>
        <v>Business Plan</v>
      </c>
      <c r="E169" s="1" t="str">
        <f>TRIM(CLEAN(PROPER(peakflow_q1_2025_dirty!E171)))</f>
        <v>Tom Wilson</v>
      </c>
      <c r="F169" s="1" t="str">
        <f>TRIM(CLEAN(PROPER(peakflow_q1_2025_dirty!F171)))</f>
        <v>Lukas Becker</v>
      </c>
      <c r="G169" s="1" t="str">
        <f>TRIM(CLEAN(UPPER(peakflow_q1_2025_dirty!G171)))</f>
        <v>LATAM</v>
      </c>
      <c r="H169" s="1">
        <f>VALUE(TRIM((CLEAN(peakflow_q1_2025_dirty!H171))))</f>
        <v>2</v>
      </c>
      <c r="I169" s="8">
        <f>VALUE(SUBSTITUTE(peakflow_q1_2025_dirty!I171,".","," ))</f>
        <v>447.2</v>
      </c>
      <c r="J169" s="8">
        <f t="shared" si="1"/>
        <v>894.4</v>
      </c>
      <c r="K169" s="1" t="str">
        <f t="shared" si="2"/>
        <v>Februar</v>
      </c>
      <c r="M169" s="1" t="str">
        <f t="shared" si="3"/>
        <v>#N/A</v>
      </c>
      <c r="N169" s="1" t="str">
        <f t="shared" si="4"/>
        <v>#N/A</v>
      </c>
      <c r="O169" s="1" t="str">
        <f t="shared" si="5"/>
        <v>#N/A</v>
      </c>
      <c r="P169" s="1" t="str">
        <f t="shared" si="6"/>
        <v>#N/A</v>
      </c>
      <c r="Q169" s="1">
        <f t="shared" si="7"/>
        <v>2</v>
      </c>
      <c r="R169" s="8">
        <f t="shared" si="8"/>
        <v>447.2</v>
      </c>
      <c r="S169" s="1" t="str">
        <f t="shared" si="9"/>
        <v>#N/A</v>
      </c>
      <c r="T169" s="1" t="str">
        <f t="shared" si="10"/>
        <v>#N/A</v>
      </c>
      <c r="U169" s="1" t="str">
        <f t="shared" si="11"/>
        <v>#N/A</v>
      </c>
      <c r="V169" s="1" t="str">
        <f t="shared" si="12"/>
        <v>#N/A</v>
      </c>
      <c r="W169" s="1" t="str">
        <f t="shared" si="13"/>
        <v>#N/A</v>
      </c>
      <c r="X169" s="1" t="str">
        <f t="shared" si="14"/>
        <v>#N/A</v>
      </c>
    </row>
    <row r="170">
      <c r="A170" s="1" t="str">
        <f>TRIM(CLEAN(PROPER(peakflow_q1_2025_dirty!A172)))</f>
        <v>D-1171</v>
      </c>
      <c r="B170" s="10">
        <f>DATEVALUE(TRIM(CLEAN(peakflow_q1_2025_dirty!B172)))</f>
        <v>45716</v>
      </c>
      <c r="C170" s="1" t="str">
        <f>TRIM(CLEAN(PROPER(peakflow_q1_2025_dirty!C172)))</f>
        <v>Summit Group</v>
      </c>
      <c r="D170" s="1" t="str">
        <f>TRIM(CLEAN(PROPER(peakflow_q1_2025_dirty!D172)))</f>
        <v>Starter Plan</v>
      </c>
      <c r="E170" s="1" t="str">
        <f>TRIM(CLEAN(PROPER(peakflow_q1_2025_dirty!E172)))</f>
        <v>James Park</v>
      </c>
      <c r="F170" s="1" t="str">
        <f>TRIM(CLEAN(PROPER(peakflow_q1_2025_dirty!F172)))</f>
        <v>Owen Walsh</v>
      </c>
      <c r="G170" s="1" t="str">
        <f>TRIM(CLEAN(UPPER(peakflow_q1_2025_dirty!G172)))</f>
        <v>EMEA</v>
      </c>
      <c r="H170" s="1">
        <f>VALUE(TRIM((CLEAN(peakflow_q1_2025_dirty!H172))))</f>
        <v>1</v>
      </c>
      <c r="I170" s="8">
        <f>VALUE(SUBSTITUTE(peakflow_q1_2025_dirty!I172,".","," ))</f>
        <v>41.17</v>
      </c>
      <c r="J170" s="8">
        <f t="shared" si="1"/>
        <v>41.17</v>
      </c>
      <c r="K170" s="1" t="str">
        <f t="shared" si="2"/>
        <v>Februar</v>
      </c>
      <c r="M170" s="1" t="str">
        <f t="shared" si="3"/>
        <v>#N/A</v>
      </c>
      <c r="N170" s="1" t="str">
        <f t="shared" si="4"/>
        <v>#N/A</v>
      </c>
      <c r="O170" s="1" t="str">
        <f t="shared" si="5"/>
        <v>#N/A</v>
      </c>
      <c r="P170" s="1" t="str">
        <f t="shared" si="6"/>
        <v>#N/A</v>
      </c>
      <c r="Q170" s="1" t="str">
        <f t="shared" si="7"/>
        <v>#N/A</v>
      </c>
      <c r="R170" s="1" t="str">
        <f t="shared" si="8"/>
        <v>#N/A</v>
      </c>
      <c r="S170" s="1" t="str">
        <f t="shared" si="9"/>
        <v>#N/A</v>
      </c>
      <c r="T170" s="1" t="str">
        <f t="shared" si="10"/>
        <v>#N/A</v>
      </c>
      <c r="U170" s="1" t="str">
        <f t="shared" si="11"/>
        <v>#N/A</v>
      </c>
      <c r="V170" s="1" t="str">
        <f t="shared" si="12"/>
        <v>#N/A</v>
      </c>
      <c r="W170" s="1">
        <f t="shared" si="13"/>
        <v>1</v>
      </c>
      <c r="X170" s="8">
        <f t="shared" si="14"/>
        <v>41.17</v>
      </c>
    </row>
    <row r="171">
      <c r="A171" s="1" t="str">
        <f>TRIM(CLEAN(PROPER(peakflow_q1_2025_dirty!A173)))</f>
        <v>D-1246</v>
      </c>
      <c r="B171" s="10">
        <f>DATEVALUE(TRIM(CLEAN(peakflow_q1_2025_dirty!B173)))</f>
        <v>45716</v>
      </c>
      <c r="C171" s="1" t="str">
        <f>TRIM(CLEAN(PROPER(peakflow_q1_2025_dirty!C173)))</f>
        <v>Atlas Group</v>
      </c>
      <c r="D171" s="1" t="str">
        <f>TRIM(CLEAN(PROPER(peakflow_q1_2025_dirty!D173)))</f>
        <v>Business Plan</v>
      </c>
      <c r="E171" s="1" t="str">
        <f>TRIM(CLEAN(PROPER(peakflow_q1_2025_dirty!E173)))</f>
        <v>Marcus Johnson</v>
      </c>
      <c r="F171" s="1" t="str">
        <f>TRIM(CLEAN(PROPER(peakflow_q1_2025_dirty!F173)))</f>
        <v>Sarah Chen</v>
      </c>
      <c r="G171" s="1" t="str">
        <f>TRIM(CLEAN(PROPER(peakflow_q1_2025_dirty!G173)))</f>
        <v>North America</v>
      </c>
      <c r="H171" s="1">
        <f>VALUE(TRIM((CLEAN(peakflow_q1_2025_dirty!H173))))</f>
        <v>5</v>
      </c>
      <c r="I171" s="8">
        <f>VALUE(SUBSTITUTE(peakflow_q1_2025_dirty!I173,".","," ))</f>
        <v>481.6</v>
      </c>
      <c r="J171" s="8">
        <f t="shared" si="1"/>
        <v>2408</v>
      </c>
      <c r="K171" s="1" t="str">
        <f t="shared" si="2"/>
        <v>Februar</v>
      </c>
      <c r="M171" s="1" t="str">
        <f t="shared" si="3"/>
        <v>#N/A</v>
      </c>
      <c r="N171" s="1" t="str">
        <f t="shared" si="4"/>
        <v>#N/A</v>
      </c>
      <c r="O171" s="1" t="str">
        <f t="shared" si="5"/>
        <v>#N/A</v>
      </c>
      <c r="P171" s="1" t="str">
        <f t="shared" si="6"/>
        <v>#N/A</v>
      </c>
      <c r="Q171" s="1">
        <f t="shared" si="7"/>
        <v>5</v>
      </c>
      <c r="R171" s="8">
        <f t="shared" si="8"/>
        <v>481.6</v>
      </c>
      <c r="S171" s="1" t="str">
        <f t="shared" si="9"/>
        <v>#N/A</v>
      </c>
      <c r="T171" s="1" t="str">
        <f t="shared" si="10"/>
        <v>#N/A</v>
      </c>
      <c r="U171" s="1" t="str">
        <f t="shared" si="11"/>
        <v>#N/A</v>
      </c>
      <c r="V171" s="1" t="str">
        <f t="shared" si="12"/>
        <v>#N/A</v>
      </c>
      <c r="W171" s="1" t="str">
        <f t="shared" si="13"/>
        <v>#N/A</v>
      </c>
      <c r="X171" s="1" t="str">
        <f t="shared" si="14"/>
        <v>#N/A</v>
      </c>
    </row>
    <row r="172">
      <c r="A172" s="1" t="str">
        <f>TRIM(CLEAN(PROPER(peakflow_q1_2025_dirty!A174)))</f>
        <v>D-1028</v>
      </c>
      <c r="B172" s="10">
        <f>DATEVALUE(TRIM(CLEAN(peakflow_q1_2025_dirty!B174)))</f>
        <v>45717</v>
      </c>
      <c r="C172" s="1" t="str">
        <f>TRIM(CLEAN(PROPER(peakflow_q1_2025_dirty!C174)))</f>
        <v>Solstice Group</v>
      </c>
      <c r="D172" s="1" t="str">
        <f>TRIM(CLEAN(PROPER(peakflow_q1_2025_dirty!D174)))</f>
        <v>Add-On: Support</v>
      </c>
      <c r="E172" s="1" t="str">
        <f>TRIM(CLEAN(PROPER(peakflow_q1_2025_dirty!E174)))</f>
        <v>Sophie Laurent</v>
      </c>
      <c r="F172" s="1" t="str">
        <f>TRIM(CLEAN(PROPER(peakflow_q1_2025_dirty!F174)))</f>
        <v>Maya Rodriguez</v>
      </c>
      <c r="G172" s="1" t="str">
        <f>TRIM(CLEAN(UPPER(peakflow_q1_2025_dirty!G174)))</f>
        <v>LATAM</v>
      </c>
      <c r="H172" s="1">
        <f>VALUE(TRIM((CLEAN(peakflow_q1_2025_dirty!H174))))</f>
        <v>5</v>
      </c>
      <c r="I172" s="8">
        <f>VALUE(SUBSTITUTE(peakflow_q1_2025_dirty!I174,".","," ))</f>
        <v>131.72</v>
      </c>
      <c r="J172" s="8">
        <f t="shared" si="1"/>
        <v>658.6</v>
      </c>
      <c r="K172" s="1" t="str">
        <f t="shared" si="2"/>
        <v>März</v>
      </c>
      <c r="M172" s="1" t="str">
        <f t="shared" si="3"/>
        <v>#N/A</v>
      </c>
      <c r="N172" s="1" t="str">
        <f t="shared" si="4"/>
        <v>#N/A</v>
      </c>
      <c r="O172" s="1">
        <f t="shared" si="5"/>
        <v>5</v>
      </c>
      <c r="P172" s="8">
        <f t="shared" si="6"/>
        <v>131.72</v>
      </c>
      <c r="Q172" s="1" t="str">
        <f t="shared" si="7"/>
        <v>#N/A</v>
      </c>
      <c r="R172" s="1" t="str">
        <f t="shared" si="8"/>
        <v>#N/A</v>
      </c>
      <c r="S172" s="1" t="str">
        <f t="shared" si="9"/>
        <v>#N/A</v>
      </c>
      <c r="T172" s="1" t="str">
        <f t="shared" si="10"/>
        <v>#N/A</v>
      </c>
      <c r="U172" s="1" t="str">
        <f t="shared" si="11"/>
        <v>#N/A</v>
      </c>
      <c r="V172" s="1" t="str">
        <f t="shared" si="12"/>
        <v>#N/A</v>
      </c>
      <c r="W172" s="1" t="str">
        <f t="shared" si="13"/>
        <v>#N/A</v>
      </c>
      <c r="X172" s="1" t="str">
        <f t="shared" si="14"/>
        <v>#N/A</v>
      </c>
    </row>
    <row r="173">
      <c r="A173" s="1" t="str">
        <f>TRIM(CLEAN(PROPER(peakflow_q1_2025_dirty!A175)))</f>
        <v>D-1033</v>
      </c>
      <c r="B173" s="10">
        <f>DATEVALUE(TRIM(CLEAN(peakflow_q1_2025_dirty!B175)))</f>
        <v>45717</v>
      </c>
      <c r="C173" s="1" t="str">
        <f>TRIM(CLEAN(PROPER(peakflow_q1_2025_dirty!C175)))</f>
        <v>Phoenix Co</v>
      </c>
      <c r="D173" s="1" t="str">
        <f>TRIM(CLEAN(PROPER(peakflow_q1_2025_dirty!D175)))</f>
        <v>Pro Plan</v>
      </c>
      <c r="E173" s="1" t="str">
        <f>TRIM(CLEAN(PROPER(peakflow_q1_2025_dirty!E175)))</f>
        <v>James Park</v>
      </c>
      <c r="F173" s="1" t="str">
        <f>TRIM(CLEAN(PROPER(peakflow_q1_2025_dirty!F175)))</f>
        <v>Owen Walsh</v>
      </c>
      <c r="G173" s="1" t="str">
        <f>TRIM(CLEAN(UPPER(peakflow_q1_2025_dirty!G175)))</f>
        <v>LATAM</v>
      </c>
      <c r="H173" s="1">
        <f>VALUE(TRIM((CLEAN(peakflow_q1_2025_dirty!H175))))</f>
        <v>2</v>
      </c>
      <c r="I173" s="8">
        <f>VALUE(SUBSTITUTE(peakflow_q1_2025_dirty!I175,".","," ))</f>
        <v>181.14</v>
      </c>
      <c r="J173" s="8">
        <f t="shared" si="1"/>
        <v>362.28</v>
      </c>
      <c r="K173" s="1" t="str">
        <f t="shared" si="2"/>
        <v>März</v>
      </c>
      <c r="M173" s="1" t="str">
        <f t="shared" si="3"/>
        <v>#N/A</v>
      </c>
      <c r="N173" s="1" t="str">
        <f t="shared" si="4"/>
        <v>#N/A</v>
      </c>
      <c r="O173" s="1" t="str">
        <f t="shared" si="5"/>
        <v>#N/A</v>
      </c>
      <c r="P173" s="1" t="str">
        <f t="shared" si="6"/>
        <v>#N/A</v>
      </c>
      <c r="Q173" s="1" t="str">
        <f t="shared" si="7"/>
        <v>#N/A</v>
      </c>
      <c r="R173" s="1" t="str">
        <f t="shared" si="8"/>
        <v>#N/A</v>
      </c>
      <c r="S173" s="1" t="str">
        <f t="shared" si="9"/>
        <v>#N/A</v>
      </c>
      <c r="T173" s="1" t="str">
        <f t="shared" si="10"/>
        <v>#N/A</v>
      </c>
      <c r="U173" s="1">
        <f t="shared" si="11"/>
        <v>2</v>
      </c>
      <c r="V173" s="8">
        <f t="shared" si="12"/>
        <v>181.14</v>
      </c>
      <c r="W173" s="1" t="str">
        <f t="shared" si="13"/>
        <v>#N/A</v>
      </c>
      <c r="X173" s="1" t="str">
        <f t="shared" si="14"/>
        <v>#N/A</v>
      </c>
    </row>
    <row r="174">
      <c r="A174" s="1" t="str">
        <f>TRIM(CLEAN(PROPER(peakflow_q1_2025_dirty!A176)))</f>
        <v>D-1157</v>
      </c>
      <c r="B174" s="10">
        <f>DATEVALUE(TRIM(CLEAN(peakflow_q1_2025_dirty!B176)))</f>
        <v>45717</v>
      </c>
      <c r="C174" s="1" t="str">
        <f>TRIM(CLEAN(PROPER(peakflow_q1_2025_dirty!C176)))</f>
        <v>Onyx Group</v>
      </c>
      <c r="D174" s="1" t="str">
        <f>TRIM(CLEAN(PROPER(peakflow_q1_2025_dirty!D176)))</f>
        <v>Pro Plan</v>
      </c>
      <c r="E174" s="1" t="str">
        <f>TRIM(CLEAN(PROPER(peakflow_q1_2025_dirty!E176)))</f>
        <v>Aisha Hassan</v>
      </c>
      <c r="F174" s="1" t="str">
        <f>TRIM(CLEAN(PROPER(peakflow_q1_2025_dirty!F176)))</f>
        <v>Sarah Chen</v>
      </c>
      <c r="G174" s="1" t="str">
        <f>TRIM(CLEAN(PROPER(peakflow_q1_2025_dirty!G176)))</f>
        <v>North America</v>
      </c>
      <c r="H174" s="1">
        <f>VALUE(TRIM((CLEAN(peakflow_q1_2025_dirty!H176))))</f>
        <v>5</v>
      </c>
      <c r="I174" s="8">
        <f>VALUE(SUBSTITUTE(peakflow_q1_2025_dirty!I176,".","," ))</f>
        <v>185.31</v>
      </c>
      <c r="J174" s="8">
        <f t="shared" si="1"/>
        <v>926.55</v>
      </c>
      <c r="K174" s="1" t="str">
        <f t="shared" si="2"/>
        <v>März</v>
      </c>
      <c r="M174" s="1" t="str">
        <f t="shared" si="3"/>
        <v>#N/A</v>
      </c>
      <c r="N174" s="1" t="str">
        <f t="shared" si="4"/>
        <v>#N/A</v>
      </c>
      <c r="O174" s="1" t="str">
        <f t="shared" si="5"/>
        <v>#N/A</v>
      </c>
      <c r="P174" s="1" t="str">
        <f t="shared" si="6"/>
        <v>#N/A</v>
      </c>
      <c r="Q174" s="1" t="str">
        <f t="shared" si="7"/>
        <v>#N/A</v>
      </c>
      <c r="R174" s="1" t="str">
        <f t="shared" si="8"/>
        <v>#N/A</v>
      </c>
      <c r="S174" s="1" t="str">
        <f t="shared" si="9"/>
        <v>#N/A</v>
      </c>
      <c r="T174" s="1" t="str">
        <f t="shared" si="10"/>
        <v>#N/A</v>
      </c>
      <c r="U174" s="1">
        <f t="shared" si="11"/>
        <v>5</v>
      </c>
      <c r="V174" s="8">
        <f t="shared" si="12"/>
        <v>185.31</v>
      </c>
      <c r="W174" s="1" t="str">
        <f t="shared" si="13"/>
        <v>#N/A</v>
      </c>
      <c r="X174" s="1" t="str">
        <f t="shared" si="14"/>
        <v>#N/A</v>
      </c>
    </row>
    <row r="175">
      <c r="A175" s="1" t="str">
        <f>TRIM(CLEAN(PROPER(peakflow_q1_2025_dirty!A177)))</f>
        <v>D-1162</v>
      </c>
      <c r="B175" s="10">
        <f>DATEVALUE(TRIM(CLEAN(peakflow_q1_2025_dirty!B177)))</f>
        <v>45717</v>
      </c>
      <c r="C175" s="1" t="str">
        <f>TRIM(CLEAN(PROPER(peakflow_q1_2025_dirty!C177)))</f>
        <v>Lumen Labs</v>
      </c>
      <c r="D175" s="1" t="str">
        <f>TRIM(CLEAN(PROPER(peakflow_q1_2025_dirty!D177)))</f>
        <v>Pro Plan</v>
      </c>
      <c r="E175" s="1" t="str">
        <f>TRIM(CLEAN(PROPER(peakflow_q1_2025_dirty!E177)))</f>
        <v>Tom Wilson</v>
      </c>
      <c r="F175" s="1" t="str">
        <f>TRIM(CLEAN(PROPER(peakflow_q1_2025_dirty!F177)))</f>
        <v>Lukas Becker</v>
      </c>
      <c r="G175" s="1" t="str">
        <f>TRIM(CLEAN(UPPER(peakflow_q1_2025_dirty!G177)))</f>
        <v>APAC</v>
      </c>
      <c r="H175" s="1">
        <f>VALUE(TRIM((CLEAN(peakflow_q1_2025_dirty!H177))))</f>
        <v>2</v>
      </c>
      <c r="I175" s="8">
        <f>VALUE(SUBSTITUTE(peakflow_q1_2025_dirty!I177,".","," ))</f>
        <v>262.29</v>
      </c>
      <c r="J175" s="8">
        <f t="shared" si="1"/>
        <v>524.58</v>
      </c>
      <c r="K175" s="1" t="str">
        <f t="shared" si="2"/>
        <v>März</v>
      </c>
      <c r="M175" s="1" t="str">
        <f t="shared" si="3"/>
        <v>#N/A</v>
      </c>
      <c r="N175" s="1" t="str">
        <f t="shared" si="4"/>
        <v>#N/A</v>
      </c>
      <c r="O175" s="1" t="str">
        <f t="shared" si="5"/>
        <v>#N/A</v>
      </c>
      <c r="P175" s="1" t="str">
        <f t="shared" si="6"/>
        <v>#N/A</v>
      </c>
      <c r="Q175" s="1" t="str">
        <f t="shared" si="7"/>
        <v>#N/A</v>
      </c>
      <c r="R175" s="1" t="str">
        <f t="shared" si="8"/>
        <v>#N/A</v>
      </c>
      <c r="S175" s="1" t="str">
        <f t="shared" si="9"/>
        <v>#N/A</v>
      </c>
      <c r="T175" s="1" t="str">
        <f t="shared" si="10"/>
        <v>#N/A</v>
      </c>
      <c r="U175" s="1">
        <f t="shared" si="11"/>
        <v>2</v>
      </c>
      <c r="V175" s="8">
        <f t="shared" si="12"/>
        <v>262.29</v>
      </c>
      <c r="W175" s="1" t="str">
        <f t="shared" si="13"/>
        <v>#N/A</v>
      </c>
      <c r="X175" s="1" t="str">
        <f t="shared" si="14"/>
        <v>#N/A</v>
      </c>
    </row>
    <row r="176">
      <c r="A176" s="1" t="str">
        <f>TRIM(CLEAN(PROPER(peakflow_q1_2025_dirty!A178)))</f>
        <v>D-1179</v>
      </c>
      <c r="B176" s="10">
        <f>DATEVALUE(TRIM(CLEAN(peakflow_q1_2025_dirty!B178)))</f>
        <v>45717</v>
      </c>
      <c r="C176" s="1" t="str">
        <f>TRIM(CLEAN(PROPER(peakflow_q1_2025_dirty!C178)))</f>
        <v>Kestrel Co</v>
      </c>
      <c r="D176" s="1" t="str">
        <f>TRIM(CLEAN(PROPER(peakflow_q1_2025_dirty!D178)))</f>
        <v>Enterprise Plan</v>
      </c>
      <c r="E176" s="1" t="str">
        <f>TRIM(CLEAN(PROPER(peakflow_q1_2025_dirty!E178)))</f>
        <v>Nina Petrov</v>
      </c>
      <c r="F176" s="1" t="str">
        <f>TRIM(CLEAN(PROPER(peakflow_q1_2025_dirty!F178)))</f>
        <v>Lukas Becker</v>
      </c>
      <c r="G176" s="1" t="str">
        <f>TRIM(CLEAN(UPPER(peakflow_q1_2025_dirty!G178)))</f>
        <v>LATAM</v>
      </c>
      <c r="H176" s="1">
        <f>VALUE(TRIM((CLEAN(peakflow_q1_2025_dirty!H178))))</f>
        <v>1</v>
      </c>
      <c r="I176" s="8">
        <f>VALUE(SUBSTITUTE(peakflow_q1_2025_dirty!I178,".","," ))</f>
        <v>1309.46</v>
      </c>
      <c r="J176" s="8">
        <f t="shared" si="1"/>
        <v>1309.46</v>
      </c>
      <c r="K176" s="1" t="str">
        <f t="shared" si="2"/>
        <v>März</v>
      </c>
      <c r="M176" s="1" t="str">
        <f t="shared" si="3"/>
        <v>#N/A</v>
      </c>
      <c r="N176" s="1" t="str">
        <f t="shared" si="4"/>
        <v>#N/A</v>
      </c>
      <c r="O176" s="1" t="str">
        <f t="shared" si="5"/>
        <v>#N/A</v>
      </c>
      <c r="P176" s="1" t="str">
        <f t="shared" si="6"/>
        <v>#N/A</v>
      </c>
      <c r="Q176" s="1" t="str">
        <f t="shared" si="7"/>
        <v>#N/A</v>
      </c>
      <c r="R176" s="1" t="str">
        <f t="shared" si="8"/>
        <v>#N/A</v>
      </c>
      <c r="S176" s="1">
        <f t="shared" si="9"/>
        <v>1</v>
      </c>
      <c r="T176" s="8">
        <f t="shared" si="10"/>
        <v>1309.46</v>
      </c>
      <c r="U176" s="1" t="str">
        <f t="shared" si="11"/>
        <v>#N/A</v>
      </c>
      <c r="V176" s="1" t="str">
        <f t="shared" si="12"/>
        <v>#N/A</v>
      </c>
      <c r="W176" s="1" t="str">
        <f t="shared" si="13"/>
        <v>#N/A</v>
      </c>
      <c r="X176" s="1" t="str">
        <f t="shared" si="14"/>
        <v>#N/A</v>
      </c>
    </row>
    <row r="177">
      <c r="A177" s="1" t="str">
        <f>TRIM(CLEAN(PROPER(peakflow_q1_2025_dirty!A179)))</f>
        <v>D-1226</v>
      </c>
      <c r="B177" s="10">
        <f>DATEVALUE(TRIM(CLEAN(peakflow_q1_2025_dirty!B179)))</f>
        <v>45717</v>
      </c>
      <c r="C177" s="1" t="str">
        <f>TRIM(CLEAN(PROPER(peakflow_q1_2025_dirty!C179)))</f>
        <v>Apex Group</v>
      </c>
      <c r="D177" s="1" t="str">
        <f>TRIM(CLEAN(PROPER(peakflow_q1_2025_dirty!D179)))</f>
        <v>Business Plan</v>
      </c>
      <c r="E177" s="1" t="str">
        <f>TRIM(CLEAN(PROPER(peakflow_q1_2025_dirty!E179)))</f>
        <v>Nina Petrov</v>
      </c>
      <c r="F177" s="1" t="str">
        <f>TRIM(CLEAN(PROPER(peakflow_q1_2025_dirty!F179)))</f>
        <v>Lukas Becker</v>
      </c>
      <c r="G177" s="1" t="str">
        <f>TRIM(CLEAN(UPPER(peakflow_q1_2025_dirty!G179)))</f>
        <v>EMEA</v>
      </c>
      <c r="H177" s="1">
        <f>VALUE(TRIM((CLEAN(peakflow_q1_2025_dirty!H179))))</f>
        <v>2</v>
      </c>
      <c r="I177" s="8">
        <f>VALUE(SUBSTITUTE(peakflow_q1_2025_dirty!I179,".","," ))</f>
        <v>408.62</v>
      </c>
      <c r="J177" s="8">
        <f t="shared" si="1"/>
        <v>817.24</v>
      </c>
      <c r="K177" s="1" t="str">
        <f t="shared" si="2"/>
        <v>März</v>
      </c>
      <c r="M177" s="1" t="str">
        <f t="shared" si="3"/>
        <v>#N/A</v>
      </c>
      <c r="N177" s="1" t="str">
        <f t="shared" si="4"/>
        <v>#N/A</v>
      </c>
      <c r="O177" s="1" t="str">
        <f t="shared" si="5"/>
        <v>#N/A</v>
      </c>
      <c r="P177" s="1" t="str">
        <f t="shared" si="6"/>
        <v>#N/A</v>
      </c>
      <c r="Q177" s="1">
        <f t="shared" si="7"/>
        <v>2</v>
      </c>
      <c r="R177" s="8">
        <f t="shared" si="8"/>
        <v>408.62</v>
      </c>
      <c r="S177" s="1" t="str">
        <f t="shared" si="9"/>
        <v>#N/A</v>
      </c>
      <c r="T177" s="1" t="str">
        <f t="shared" si="10"/>
        <v>#N/A</v>
      </c>
      <c r="U177" s="1" t="str">
        <f t="shared" si="11"/>
        <v>#N/A</v>
      </c>
      <c r="V177" s="1" t="str">
        <f t="shared" si="12"/>
        <v>#N/A</v>
      </c>
      <c r="W177" s="1" t="str">
        <f t="shared" si="13"/>
        <v>#N/A</v>
      </c>
      <c r="X177" s="1" t="str">
        <f t="shared" si="14"/>
        <v>#N/A</v>
      </c>
    </row>
    <row r="178">
      <c r="A178" s="1" t="str">
        <f>TRIM(CLEAN(PROPER(peakflow_q1_2025_dirty!A180)))</f>
        <v>D-1034</v>
      </c>
      <c r="B178" s="10">
        <f>DATEVALUE(TRIM(CLEAN(peakflow_q1_2025_dirty!B180)))</f>
        <v>45718</v>
      </c>
      <c r="C178" s="1" t="str">
        <f>TRIM(CLEAN(PROPER(peakflow_q1_2025_dirty!C180)))</f>
        <v>Juniper Group</v>
      </c>
      <c r="D178" s="1" t="str">
        <f>TRIM(CLEAN(PROPER(peakflow_q1_2025_dirty!D180)))</f>
        <v>Starter Plan</v>
      </c>
      <c r="E178" s="1" t="str">
        <f>TRIM(CLEAN(PROPER(peakflow_q1_2025_dirty!E180)))</f>
        <v>Nina Petrov</v>
      </c>
      <c r="F178" s="1" t="str">
        <f>TRIM(CLEAN(PROPER(peakflow_q1_2025_dirty!F180)))</f>
        <v>Lukas Becker</v>
      </c>
      <c r="G178" s="1" t="str">
        <f>TRIM(CLEAN(UPPER(peakflow_q1_2025_dirty!G180)))</f>
        <v>LATAM</v>
      </c>
      <c r="H178" s="1">
        <f>VALUE(TRIM((CLEAN(peakflow_q1_2025_dirty!H180))))</f>
        <v>2</v>
      </c>
      <c r="I178" s="8">
        <f>VALUE(SUBSTITUTE(peakflow_q1_2025_dirty!I180,".","," ))</f>
        <v>65.03</v>
      </c>
      <c r="J178" s="8">
        <f t="shared" si="1"/>
        <v>130.06</v>
      </c>
      <c r="K178" s="1" t="str">
        <f t="shared" si="2"/>
        <v>März</v>
      </c>
      <c r="M178" s="1" t="str">
        <f t="shared" si="3"/>
        <v>#N/A</v>
      </c>
      <c r="N178" s="1" t="str">
        <f t="shared" si="4"/>
        <v>#N/A</v>
      </c>
      <c r="O178" s="1" t="str">
        <f t="shared" si="5"/>
        <v>#N/A</v>
      </c>
      <c r="P178" s="1" t="str">
        <f t="shared" si="6"/>
        <v>#N/A</v>
      </c>
      <c r="Q178" s="1" t="str">
        <f t="shared" si="7"/>
        <v>#N/A</v>
      </c>
      <c r="R178" s="1" t="str">
        <f t="shared" si="8"/>
        <v>#N/A</v>
      </c>
      <c r="S178" s="1" t="str">
        <f t="shared" si="9"/>
        <v>#N/A</v>
      </c>
      <c r="T178" s="1" t="str">
        <f t="shared" si="10"/>
        <v>#N/A</v>
      </c>
      <c r="U178" s="1" t="str">
        <f t="shared" si="11"/>
        <v>#N/A</v>
      </c>
      <c r="V178" s="1" t="str">
        <f t="shared" si="12"/>
        <v>#N/A</v>
      </c>
      <c r="W178" s="1">
        <f t="shared" si="13"/>
        <v>2</v>
      </c>
      <c r="X178" s="8">
        <f t="shared" si="14"/>
        <v>65.03</v>
      </c>
    </row>
    <row r="179">
      <c r="A179" s="1" t="str">
        <f>TRIM(CLEAN(PROPER(peakflow_q1_2025_dirty!A181)))</f>
        <v>D-1145</v>
      </c>
      <c r="B179" s="10">
        <f>DATEVALUE(TRIM(CLEAN(peakflow_q1_2025_dirty!B181)))</f>
        <v>45718</v>
      </c>
      <c r="C179" s="1" t="str">
        <f>TRIM(CLEAN(PROPER(peakflow_q1_2025_dirty!C181)))</f>
        <v>Stellar Co</v>
      </c>
      <c r="D179" s="1" t="str">
        <f>TRIM(CLEAN(PROPER(peakflow_q1_2025_dirty!D181)))</f>
        <v>Business Plan</v>
      </c>
      <c r="E179" s="1" t="str">
        <f>TRIM(CLEAN(PROPER(peakflow_q1_2025_dirty!E181)))</f>
        <v>Aisha Hassan</v>
      </c>
      <c r="F179" s="1" t="str">
        <f>TRIM(CLEAN(PROPER(peakflow_q1_2025_dirty!F181)))</f>
        <v>Sarah Chen</v>
      </c>
      <c r="G179" s="1" t="str">
        <f>TRIM(CLEAN(PROPER(peakflow_q1_2025_dirty!G181)))</f>
        <v>North America</v>
      </c>
      <c r="H179" s="1">
        <f>VALUE(TRIM((CLEAN(peakflow_q1_2025_dirty!H181))))</f>
        <v>1</v>
      </c>
      <c r="I179" s="8">
        <f>VALUE(SUBSTITUTE(peakflow_q1_2025_dirty!I181,".","," ))</f>
        <v>498.06</v>
      </c>
      <c r="J179" s="8">
        <f t="shared" si="1"/>
        <v>498.06</v>
      </c>
      <c r="K179" s="1" t="str">
        <f t="shared" si="2"/>
        <v>März</v>
      </c>
      <c r="M179" s="1" t="str">
        <f t="shared" si="3"/>
        <v>#N/A</v>
      </c>
      <c r="N179" s="1" t="str">
        <f t="shared" si="4"/>
        <v>#N/A</v>
      </c>
      <c r="O179" s="1" t="str">
        <f t="shared" si="5"/>
        <v>#N/A</v>
      </c>
      <c r="P179" s="1" t="str">
        <f t="shared" si="6"/>
        <v>#N/A</v>
      </c>
      <c r="Q179" s="1">
        <f t="shared" si="7"/>
        <v>1</v>
      </c>
      <c r="R179" s="8">
        <f t="shared" si="8"/>
        <v>498.06</v>
      </c>
      <c r="S179" s="1" t="str">
        <f t="shared" si="9"/>
        <v>#N/A</v>
      </c>
      <c r="T179" s="1" t="str">
        <f t="shared" si="10"/>
        <v>#N/A</v>
      </c>
      <c r="U179" s="1" t="str">
        <f t="shared" si="11"/>
        <v>#N/A</v>
      </c>
      <c r="V179" s="1" t="str">
        <f t="shared" si="12"/>
        <v>#N/A</v>
      </c>
      <c r="W179" s="1" t="str">
        <f t="shared" si="13"/>
        <v>#N/A</v>
      </c>
      <c r="X179" s="1" t="str">
        <f t="shared" si="14"/>
        <v>#N/A</v>
      </c>
    </row>
    <row r="180">
      <c r="A180" s="1" t="str">
        <f>TRIM(CLEAN(PROPER(peakflow_q1_2025_dirty!A182)))</f>
        <v>D-1021</v>
      </c>
      <c r="B180" s="10">
        <f>DATEVALUE(TRIM(CLEAN(peakflow_q1_2025_dirty!B182)))</f>
        <v>45719</v>
      </c>
      <c r="C180" s="1" t="str">
        <f>TRIM(CLEAN(PROPER(peakflow_q1_2025_dirty!C182)))</f>
        <v>Verdant Inc</v>
      </c>
      <c r="D180" s="1" t="str">
        <f>TRIM(CLEAN(PROPER(peakflow_q1_2025_dirty!D182)))</f>
        <v>Starter Plan</v>
      </c>
      <c r="E180" s="1" t="str">
        <f>TRIM(CLEAN(PROPER(peakflow_q1_2025_dirty!E182)))</f>
        <v>Carlos Mendez</v>
      </c>
      <c r="F180" s="1" t="str">
        <f>TRIM(CLEAN(PROPER(peakflow_q1_2025_dirty!F182)))</f>
        <v>Maya Rodriguez</v>
      </c>
      <c r="G180" s="1" t="str">
        <f>TRIM(CLEAN(UPPER(peakflow_q1_2025_dirty!G182)))</f>
        <v>APAC</v>
      </c>
      <c r="H180" s="1">
        <f>VALUE(TRIM((CLEAN(peakflow_q1_2025_dirty!H182))))</f>
        <v>20</v>
      </c>
      <c r="I180" s="8">
        <f>VALUE(SUBSTITUTE(peakflow_q1_2025_dirty!I182,".","," ))</f>
        <v>74.98</v>
      </c>
      <c r="J180" s="8">
        <f t="shared" si="1"/>
        <v>1499.6</v>
      </c>
      <c r="K180" s="1" t="str">
        <f t="shared" si="2"/>
        <v>März</v>
      </c>
      <c r="M180" s="1" t="str">
        <f t="shared" si="3"/>
        <v>#N/A</v>
      </c>
      <c r="N180" s="1" t="str">
        <f t="shared" si="4"/>
        <v>#N/A</v>
      </c>
      <c r="O180" s="1" t="str">
        <f t="shared" si="5"/>
        <v>#N/A</v>
      </c>
      <c r="P180" s="1" t="str">
        <f t="shared" si="6"/>
        <v>#N/A</v>
      </c>
      <c r="Q180" s="1" t="str">
        <f t="shared" si="7"/>
        <v>#N/A</v>
      </c>
      <c r="R180" s="1" t="str">
        <f t="shared" si="8"/>
        <v>#N/A</v>
      </c>
      <c r="S180" s="1" t="str">
        <f t="shared" si="9"/>
        <v>#N/A</v>
      </c>
      <c r="T180" s="1" t="str">
        <f t="shared" si="10"/>
        <v>#N/A</v>
      </c>
      <c r="U180" s="1" t="str">
        <f t="shared" si="11"/>
        <v>#N/A</v>
      </c>
      <c r="V180" s="1" t="str">
        <f t="shared" si="12"/>
        <v>#N/A</v>
      </c>
      <c r="W180" s="1">
        <f t="shared" si="13"/>
        <v>20</v>
      </c>
      <c r="X180" s="8">
        <f t="shared" si="14"/>
        <v>74.98</v>
      </c>
    </row>
    <row r="181">
      <c r="A181" s="1" t="str">
        <f>TRIM(CLEAN(PROPER(peakflow_q1_2025_dirty!A183)))</f>
        <v>D-1104</v>
      </c>
      <c r="B181" s="10">
        <f>DATEVALUE(TRIM(CLEAN(peakflow_q1_2025_dirty!B183)))</f>
        <v>45719</v>
      </c>
      <c r="C181" s="1" t="str">
        <f>TRIM(CLEAN(PROPER(peakflow_q1_2025_dirty!C183)))</f>
        <v>Borealis Co</v>
      </c>
      <c r="D181" s="1" t="str">
        <f>TRIM(CLEAN(PROPER(peakflow_q1_2025_dirty!D183)))</f>
        <v>Starter Plan</v>
      </c>
      <c r="E181" s="1" t="str">
        <f>TRIM(CLEAN(PROPER(peakflow_q1_2025_dirty!E183)))</f>
        <v>Carlos Mendez</v>
      </c>
      <c r="F181" s="1" t="str">
        <f>TRIM(CLEAN(PROPER(peakflow_q1_2025_dirty!F183)))</f>
        <v>Maya Rodriguez</v>
      </c>
      <c r="G181" s="1" t="str">
        <f>TRIM(CLEAN(UPPER(peakflow_q1_2025_dirty!G183)))</f>
        <v>LATAM</v>
      </c>
      <c r="H181" s="1">
        <f>VALUE(TRIM((CLEAN(peakflow_q1_2025_dirty!H183))))</f>
        <v>1</v>
      </c>
      <c r="I181" s="8">
        <f>VALUE(SUBSTITUTE(peakflow_q1_2025_dirty!I183,".","," ))</f>
        <v>59.68</v>
      </c>
      <c r="J181" s="8">
        <f t="shared" si="1"/>
        <v>59.68</v>
      </c>
      <c r="K181" s="1" t="str">
        <f t="shared" si="2"/>
        <v>März</v>
      </c>
      <c r="M181" s="1" t="str">
        <f t="shared" si="3"/>
        <v>#N/A</v>
      </c>
      <c r="N181" s="1" t="str">
        <f t="shared" si="4"/>
        <v>#N/A</v>
      </c>
      <c r="O181" s="1" t="str">
        <f t="shared" si="5"/>
        <v>#N/A</v>
      </c>
      <c r="P181" s="1" t="str">
        <f t="shared" si="6"/>
        <v>#N/A</v>
      </c>
      <c r="Q181" s="1" t="str">
        <f t="shared" si="7"/>
        <v>#N/A</v>
      </c>
      <c r="R181" s="1" t="str">
        <f t="shared" si="8"/>
        <v>#N/A</v>
      </c>
      <c r="S181" s="1" t="str">
        <f t="shared" si="9"/>
        <v>#N/A</v>
      </c>
      <c r="T181" s="1" t="str">
        <f t="shared" si="10"/>
        <v>#N/A</v>
      </c>
      <c r="U181" s="1" t="str">
        <f t="shared" si="11"/>
        <v>#N/A</v>
      </c>
      <c r="V181" s="1" t="str">
        <f t="shared" si="12"/>
        <v>#N/A</v>
      </c>
      <c r="W181" s="1">
        <f t="shared" si="13"/>
        <v>1</v>
      </c>
      <c r="X181" s="8">
        <f t="shared" si="14"/>
        <v>59.68</v>
      </c>
    </row>
    <row r="182">
      <c r="A182" s="1" t="str">
        <f>TRIM(CLEAN(PROPER(peakflow_q1_2025_dirty!A184)))</f>
        <v>D-1126</v>
      </c>
      <c r="B182" s="10">
        <f>DATEVALUE(TRIM(CLEAN(peakflow_q1_2025_dirty!B184)))</f>
        <v>45719</v>
      </c>
      <c r="C182" s="1" t="str">
        <f>TRIM(CLEAN(PROPER(peakflow_q1_2025_dirty!C184)))</f>
        <v>Citadel Group</v>
      </c>
      <c r="D182" s="1" t="str">
        <f>TRIM(CLEAN(PROPER(peakflow_q1_2025_dirty!D184)))</f>
        <v>Pro Plan</v>
      </c>
      <c r="E182" s="1" t="str">
        <f>TRIM(CLEAN(PROPER(peakflow_q1_2025_dirty!E184)))</f>
        <v>Nina Petrov</v>
      </c>
      <c r="F182" s="1" t="str">
        <f>TRIM(CLEAN(PROPER(peakflow_q1_2025_dirty!F184)))</f>
        <v>Lukas Becker</v>
      </c>
      <c r="G182" s="1" t="str">
        <f>TRIM(CLEAN(UPPER(peakflow_q1_2025_dirty!G184)))</f>
        <v>EMEA</v>
      </c>
      <c r="H182" s="1">
        <f>VALUE(TRIM((CLEAN(peakflow_q1_2025_dirty!H184))))</f>
        <v>5</v>
      </c>
      <c r="I182" s="8">
        <f>VALUE(SUBSTITUTE(peakflow_q1_2025_dirty!I184,".","," ))</f>
        <v>170.37</v>
      </c>
      <c r="J182" s="8">
        <f t="shared" si="1"/>
        <v>851.85</v>
      </c>
      <c r="K182" s="1" t="str">
        <f t="shared" si="2"/>
        <v>März</v>
      </c>
      <c r="M182" s="1" t="str">
        <f t="shared" si="3"/>
        <v>#N/A</v>
      </c>
      <c r="N182" s="1" t="str">
        <f t="shared" si="4"/>
        <v>#N/A</v>
      </c>
      <c r="O182" s="1" t="str">
        <f t="shared" si="5"/>
        <v>#N/A</v>
      </c>
      <c r="P182" s="1" t="str">
        <f t="shared" si="6"/>
        <v>#N/A</v>
      </c>
      <c r="Q182" s="1" t="str">
        <f t="shared" si="7"/>
        <v>#N/A</v>
      </c>
      <c r="R182" s="1" t="str">
        <f t="shared" si="8"/>
        <v>#N/A</v>
      </c>
      <c r="S182" s="1" t="str">
        <f t="shared" si="9"/>
        <v>#N/A</v>
      </c>
      <c r="T182" s="1" t="str">
        <f t="shared" si="10"/>
        <v>#N/A</v>
      </c>
      <c r="U182" s="1">
        <f t="shared" si="11"/>
        <v>5</v>
      </c>
      <c r="V182" s="8">
        <f t="shared" si="12"/>
        <v>170.37</v>
      </c>
      <c r="W182" s="1" t="str">
        <f t="shared" si="13"/>
        <v>#N/A</v>
      </c>
      <c r="X182" s="1" t="str">
        <f t="shared" si="14"/>
        <v>#N/A</v>
      </c>
    </row>
    <row r="183">
      <c r="A183" s="1" t="str">
        <f>TRIM(CLEAN(PROPER(peakflow_q1_2025_dirty!A185)))</f>
        <v>D-1241</v>
      </c>
      <c r="B183" s="10">
        <f>DATEVALUE(TRIM(CLEAN(peakflow_q1_2025_dirty!B185)))</f>
        <v>45719</v>
      </c>
      <c r="C183" s="1" t="str">
        <f>TRIM(CLEAN(PROPER(peakflow_q1_2025_dirty!C185)))</f>
        <v>Fusion Group</v>
      </c>
      <c r="D183" s="1" t="str">
        <f>TRIM(CLEAN(PROPER(peakflow_q1_2025_dirty!D185)))</f>
        <v>Pro Plan</v>
      </c>
      <c r="E183" s="1" t="str">
        <f>TRIM(CLEAN(PROPER(peakflow_q1_2025_dirty!E185)))</f>
        <v>Hannah Lee</v>
      </c>
      <c r="F183" s="1" t="str">
        <f>TRIM(CLEAN(PROPER(peakflow_q1_2025_dirty!F185)))</f>
        <v>Owen Walsh</v>
      </c>
      <c r="G183" s="1" t="str">
        <f>TRIM(CLEAN(PROPER(peakflow_q1_2025_dirty!G185)))</f>
        <v>North America</v>
      </c>
      <c r="H183" s="1">
        <f>VALUE(TRIM((CLEAN(peakflow_q1_2025_dirty!H185))))</f>
        <v>10</v>
      </c>
      <c r="I183" s="8">
        <f>VALUE(SUBSTITUTE(peakflow_q1_2025_dirty!I185,".","," ))</f>
        <v>250.52</v>
      </c>
      <c r="J183" s="8">
        <f t="shared" si="1"/>
        <v>2505.2</v>
      </c>
      <c r="K183" s="1" t="str">
        <f t="shared" si="2"/>
        <v>März</v>
      </c>
      <c r="M183" s="1" t="str">
        <f t="shared" si="3"/>
        <v>#N/A</v>
      </c>
      <c r="N183" s="1" t="str">
        <f t="shared" si="4"/>
        <v>#N/A</v>
      </c>
      <c r="O183" s="1" t="str">
        <f t="shared" si="5"/>
        <v>#N/A</v>
      </c>
      <c r="P183" s="1" t="str">
        <f t="shared" si="6"/>
        <v>#N/A</v>
      </c>
      <c r="Q183" s="1" t="str">
        <f t="shared" si="7"/>
        <v>#N/A</v>
      </c>
      <c r="R183" s="1" t="str">
        <f t="shared" si="8"/>
        <v>#N/A</v>
      </c>
      <c r="S183" s="1" t="str">
        <f t="shared" si="9"/>
        <v>#N/A</v>
      </c>
      <c r="T183" s="1" t="str">
        <f t="shared" si="10"/>
        <v>#N/A</v>
      </c>
      <c r="U183" s="1">
        <f t="shared" si="11"/>
        <v>10</v>
      </c>
      <c r="V183" s="8">
        <f t="shared" si="12"/>
        <v>250.52</v>
      </c>
      <c r="W183" s="1" t="str">
        <f t="shared" si="13"/>
        <v>#N/A</v>
      </c>
      <c r="X183" s="1" t="str">
        <f t="shared" si="14"/>
        <v>#N/A</v>
      </c>
    </row>
    <row r="184">
      <c r="A184" s="1" t="str">
        <f>TRIM(CLEAN(PROPER(peakflow_q1_2025_dirty!A186)))</f>
        <v>D-1039</v>
      </c>
      <c r="B184" s="10">
        <f>DATEVALUE(TRIM(CLEAN(peakflow_q1_2025_dirty!B186)))</f>
        <v>45720</v>
      </c>
      <c r="C184" s="1" t="str">
        <f>TRIM(CLEAN(PROPER(peakflow_q1_2025_dirty!C186)))</f>
        <v>Foundry Group</v>
      </c>
      <c r="D184" s="1" t="str">
        <f>TRIM(CLEAN(PROPER(peakflow_q1_2025_dirty!D186)))</f>
        <v>Starter Plan</v>
      </c>
      <c r="E184" s="1" t="str">
        <f>TRIM(CLEAN(PROPER(peakflow_q1_2025_dirty!E186)))</f>
        <v>Aisha Hassan</v>
      </c>
      <c r="F184" s="1" t="str">
        <f>TRIM(CLEAN(PROPER(peakflow_q1_2025_dirty!F186)))</f>
        <v>Sarah Chen</v>
      </c>
      <c r="G184" s="1" t="str">
        <f>TRIM(CLEAN(UPPER(peakflow_q1_2025_dirty!G186)))</f>
        <v>LATAM</v>
      </c>
      <c r="H184" s="1">
        <f>VALUE(TRIM((CLEAN(peakflow_q1_2025_dirty!H186))))</f>
        <v>1</v>
      </c>
      <c r="I184" s="8">
        <f>VALUE(SUBSTITUTE(peakflow_q1_2025_dirty!I186,".","," ))</f>
        <v>47.54</v>
      </c>
      <c r="J184" s="8">
        <f t="shared" si="1"/>
        <v>47.54</v>
      </c>
      <c r="K184" s="1" t="str">
        <f t="shared" si="2"/>
        <v>März</v>
      </c>
      <c r="M184" s="1" t="str">
        <f t="shared" si="3"/>
        <v>#N/A</v>
      </c>
      <c r="N184" s="1" t="str">
        <f t="shared" si="4"/>
        <v>#N/A</v>
      </c>
      <c r="O184" s="1" t="str">
        <f t="shared" si="5"/>
        <v>#N/A</v>
      </c>
      <c r="P184" s="1" t="str">
        <f t="shared" si="6"/>
        <v>#N/A</v>
      </c>
      <c r="Q184" s="1" t="str">
        <f t="shared" si="7"/>
        <v>#N/A</v>
      </c>
      <c r="R184" s="1" t="str">
        <f t="shared" si="8"/>
        <v>#N/A</v>
      </c>
      <c r="S184" s="1" t="str">
        <f t="shared" si="9"/>
        <v>#N/A</v>
      </c>
      <c r="T184" s="1" t="str">
        <f t="shared" si="10"/>
        <v>#N/A</v>
      </c>
      <c r="U184" s="1" t="str">
        <f t="shared" si="11"/>
        <v>#N/A</v>
      </c>
      <c r="V184" s="1" t="str">
        <f t="shared" si="12"/>
        <v>#N/A</v>
      </c>
      <c r="W184" s="1">
        <f t="shared" si="13"/>
        <v>1</v>
      </c>
      <c r="X184" s="8">
        <f t="shared" si="14"/>
        <v>47.54</v>
      </c>
    </row>
    <row r="185">
      <c r="A185" s="1" t="str">
        <f>TRIM(CLEAN(PROPER(peakflow_q1_2025_dirty!A187)))</f>
        <v>D-1111</v>
      </c>
      <c r="B185" s="10">
        <f>DATEVALUE(TRIM(CLEAN(peakflow_q1_2025_dirty!B187)))</f>
        <v>45721</v>
      </c>
      <c r="C185" s="1" t="str">
        <f>TRIM(CLEAN(PROPER(peakflow_q1_2025_dirty!C187)))</f>
        <v>Beacon Labs</v>
      </c>
      <c r="D185" s="1" t="str">
        <f>TRIM(CLEAN(PROPER(peakflow_q1_2025_dirty!D187)))</f>
        <v>Business Plan</v>
      </c>
      <c r="E185" s="1" t="str">
        <f>TRIM(CLEAN(PROPER(peakflow_q1_2025_dirty!E187)))</f>
        <v>David Kim</v>
      </c>
      <c r="F185" s="1" t="str">
        <f>TRIM(CLEAN(PROPER(peakflow_q1_2025_dirty!F187)))</f>
        <v>Sarah Chen</v>
      </c>
      <c r="G185" s="1" t="str">
        <f>TRIM(CLEAN(PROPER(peakflow_q1_2025_dirty!G187)))</f>
        <v>North America</v>
      </c>
      <c r="H185" s="1">
        <f>VALUE(TRIM((CLEAN(peakflow_q1_2025_dirty!H187))))</f>
        <v>2</v>
      </c>
      <c r="I185" s="8">
        <f>VALUE(SUBSTITUTE(peakflow_q1_2025_dirty!I187,".","," ))</f>
        <v>477.27</v>
      </c>
      <c r="J185" s="8">
        <f t="shared" si="1"/>
        <v>954.54</v>
      </c>
      <c r="K185" s="1" t="str">
        <f t="shared" si="2"/>
        <v>März</v>
      </c>
      <c r="M185" s="1" t="str">
        <f t="shared" si="3"/>
        <v>#N/A</v>
      </c>
      <c r="N185" s="1" t="str">
        <f t="shared" si="4"/>
        <v>#N/A</v>
      </c>
      <c r="O185" s="1" t="str">
        <f t="shared" si="5"/>
        <v>#N/A</v>
      </c>
      <c r="P185" s="1" t="str">
        <f t="shared" si="6"/>
        <v>#N/A</v>
      </c>
      <c r="Q185" s="1">
        <f t="shared" si="7"/>
        <v>2</v>
      </c>
      <c r="R185" s="8">
        <f t="shared" si="8"/>
        <v>477.27</v>
      </c>
      <c r="S185" s="1" t="str">
        <f t="shared" si="9"/>
        <v>#N/A</v>
      </c>
      <c r="T185" s="1" t="str">
        <f t="shared" si="10"/>
        <v>#N/A</v>
      </c>
      <c r="U185" s="1" t="str">
        <f t="shared" si="11"/>
        <v>#N/A</v>
      </c>
      <c r="V185" s="1" t="str">
        <f t="shared" si="12"/>
        <v>#N/A</v>
      </c>
      <c r="W185" s="1" t="str">
        <f t="shared" si="13"/>
        <v>#N/A</v>
      </c>
      <c r="X185" s="1" t="str">
        <f t="shared" si="14"/>
        <v>#N/A</v>
      </c>
    </row>
    <row r="186">
      <c r="A186" s="1" t="str">
        <f>TRIM(CLEAN(PROPER(peakflow_q1_2025_dirty!A188)))</f>
        <v>D-1137</v>
      </c>
      <c r="B186" s="10">
        <f>DATEVALUE(TRIM(CLEAN(peakflow_q1_2025_dirty!B188)))</f>
        <v>45721</v>
      </c>
      <c r="C186" s="1" t="str">
        <f>TRIM(CLEAN(PROPER(peakflow_q1_2025_dirty!C188)))</f>
        <v>Kestrel Co</v>
      </c>
      <c r="D186" s="1" t="str">
        <f>TRIM(CLEAN(PROPER(peakflow_q1_2025_dirty!D188)))</f>
        <v>Pro Plan</v>
      </c>
      <c r="E186" s="1" t="str">
        <f>TRIM(CLEAN(PROPER(peakflow_q1_2025_dirty!E188)))</f>
        <v>Aisha Hassan</v>
      </c>
      <c r="F186" s="1" t="str">
        <f>TRIM(CLEAN(PROPER(peakflow_q1_2025_dirty!F188)))</f>
        <v>Sarah Chen</v>
      </c>
      <c r="G186" s="1" t="str">
        <f>TRIM(CLEAN(UPPER(peakflow_q1_2025_dirty!G188)))</f>
        <v>LATAM</v>
      </c>
      <c r="H186" s="1">
        <f>VALUE(TRIM((CLEAN(peakflow_q1_2025_dirty!H188))))</f>
        <v>10</v>
      </c>
      <c r="I186" s="8">
        <f>VALUE(SUBSTITUTE(peakflow_q1_2025_dirty!I188,".","," ))</f>
        <v>222.01</v>
      </c>
      <c r="J186" s="8">
        <f t="shared" si="1"/>
        <v>2220.1</v>
      </c>
      <c r="K186" s="1" t="str">
        <f t="shared" si="2"/>
        <v>März</v>
      </c>
      <c r="M186" s="1" t="str">
        <f t="shared" si="3"/>
        <v>#N/A</v>
      </c>
      <c r="N186" s="1" t="str">
        <f t="shared" si="4"/>
        <v>#N/A</v>
      </c>
      <c r="O186" s="1" t="str">
        <f t="shared" si="5"/>
        <v>#N/A</v>
      </c>
      <c r="P186" s="1" t="str">
        <f t="shared" si="6"/>
        <v>#N/A</v>
      </c>
      <c r="Q186" s="1" t="str">
        <f t="shared" si="7"/>
        <v>#N/A</v>
      </c>
      <c r="R186" s="1" t="str">
        <f t="shared" si="8"/>
        <v>#N/A</v>
      </c>
      <c r="S186" s="1" t="str">
        <f t="shared" si="9"/>
        <v>#N/A</v>
      </c>
      <c r="T186" s="1" t="str">
        <f t="shared" si="10"/>
        <v>#N/A</v>
      </c>
      <c r="U186" s="1">
        <f t="shared" si="11"/>
        <v>10</v>
      </c>
      <c r="V186" s="8">
        <f t="shared" si="12"/>
        <v>222.01</v>
      </c>
      <c r="W186" s="1" t="str">
        <f t="shared" si="13"/>
        <v>#N/A</v>
      </c>
      <c r="X186" s="1" t="str">
        <f t="shared" si="14"/>
        <v>#N/A</v>
      </c>
    </row>
    <row r="187">
      <c r="A187" s="1" t="str">
        <f>TRIM(CLEAN(PROPER(peakflow_q1_2025_dirty!A189)))</f>
        <v>D-1237</v>
      </c>
      <c r="B187" s="10">
        <f>DATEVALUE(TRIM(CLEAN(peakflow_q1_2025_dirty!B189)))</f>
        <v>45721</v>
      </c>
      <c r="C187" s="1" t="str">
        <f>TRIM(CLEAN(PROPER(peakflow_q1_2025_dirty!C189)))</f>
        <v>Apex Group</v>
      </c>
      <c r="D187" s="1" t="str">
        <f>TRIM(CLEAN(PROPER(peakflow_q1_2025_dirty!D189)))</f>
        <v>Starter Plan</v>
      </c>
      <c r="E187" s="1" t="str">
        <f>TRIM(CLEAN(PROPER(peakflow_q1_2025_dirty!E189)))</f>
        <v>Aisha Hassan</v>
      </c>
      <c r="F187" s="1" t="str">
        <f>TRIM(CLEAN(PROPER(peakflow_q1_2025_dirty!F189)))</f>
        <v>Sarah Chen</v>
      </c>
      <c r="G187" s="1" t="str">
        <f>TRIM(CLEAN(UPPER(peakflow_q1_2025_dirty!G189)))</f>
        <v>LATAM</v>
      </c>
      <c r="H187" s="1">
        <f>VALUE(TRIM((CLEAN(peakflow_q1_2025_dirty!H189))))</f>
        <v>2</v>
      </c>
      <c r="I187" s="8">
        <f>VALUE(SUBSTITUTE(peakflow_q1_2025_dirty!I189,".","," ))</f>
        <v>79.56</v>
      </c>
      <c r="J187" s="8">
        <f t="shared" si="1"/>
        <v>159.12</v>
      </c>
      <c r="K187" s="1" t="str">
        <f t="shared" si="2"/>
        <v>März</v>
      </c>
      <c r="M187" s="1" t="str">
        <f t="shared" si="3"/>
        <v>#N/A</v>
      </c>
      <c r="N187" s="1" t="str">
        <f t="shared" si="4"/>
        <v>#N/A</v>
      </c>
      <c r="O187" s="1" t="str">
        <f t="shared" si="5"/>
        <v>#N/A</v>
      </c>
      <c r="P187" s="1" t="str">
        <f t="shared" si="6"/>
        <v>#N/A</v>
      </c>
      <c r="Q187" s="1" t="str">
        <f t="shared" si="7"/>
        <v>#N/A</v>
      </c>
      <c r="R187" s="1" t="str">
        <f t="shared" si="8"/>
        <v>#N/A</v>
      </c>
      <c r="S187" s="1" t="str">
        <f t="shared" si="9"/>
        <v>#N/A</v>
      </c>
      <c r="T187" s="1" t="str">
        <f t="shared" si="10"/>
        <v>#N/A</v>
      </c>
      <c r="U187" s="1" t="str">
        <f t="shared" si="11"/>
        <v>#N/A</v>
      </c>
      <c r="V187" s="1" t="str">
        <f t="shared" si="12"/>
        <v>#N/A</v>
      </c>
      <c r="W187" s="1">
        <f t="shared" si="13"/>
        <v>2</v>
      </c>
      <c r="X187" s="8">
        <f t="shared" si="14"/>
        <v>79.56</v>
      </c>
    </row>
    <row r="188">
      <c r="A188" s="1" t="str">
        <f>TRIM(CLEAN(PROPER(peakflow_q1_2025_dirty!A190)))</f>
        <v>D-1026</v>
      </c>
      <c r="B188" s="10">
        <f>DATEVALUE(TRIM(CLEAN(peakflow_q1_2025_dirty!B190)))</f>
        <v>45722</v>
      </c>
      <c r="C188" s="1" t="str">
        <f>TRIM(CLEAN(PROPER(peakflow_q1_2025_dirty!C190)))</f>
        <v>Borealis Co</v>
      </c>
      <c r="D188" s="1" t="str">
        <f>TRIM(CLEAN(PROPER(peakflow_q1_2025_dirty!D190)))</f>
        <v>Pro Plan</v>
      </c>
      <c r="E188" s="1" t="str">
        <f>TRIM(CLEAN(PROPER(peakflow_q1_2025_dirty!E190)))</f>
        <v>Tom Wilson</v>
      </c>
      <c r="F188" s="1" t="str">
        <f>TRIM(CLEAN(PROPER(peakflow_q1_2025_dirty!F190)))</f>
        <v>Lukas Becker</v>
      </c>
      <c r="G188" s="1" t="str">
        <f>TRIM(CLEAN(UPPER(peakflow_q1_2025_dirty!G190)))</f>
        <v>EMEA</v>
      </c>
      <c r="H188" s="1">
        <f>VALUE(TRIM((CLEAN(peakflow_q1_2025_dirty!H190))))</f>
        <v>5</v>
      </c>
      <c r="I188" s="8">
        <f>VALUE(SUBSTITUTE(peakflow_q1_2025_dirty!I190,".","," ))</f>
        <v>150.54</v>
      </c>
      <c r="J188" s="8">
        <f t="shared" si="1"/>
        <v>752.7</v>
      </c>
      <c r="K188" s="1" t="str">
        <f t="shared" si="2"/>
        <v>März</v>
      </c>
      <c r="M188" s="1" t="str">
        <f t="shared" si="3"/>
        <v>#N/A</v>
      </c>
      <c r="N188" s="1" t="str">
        <f t="shared" si="4"/>
        <v>#N/A</v>
      </c>
      <c r="O188" s="1" t="str">
        <f t="shared" si="5"/>
        <v>#N/A</v>
      </c>
      <c r="P188" s="1" t="str">
        <f t="shared" si="6"/>
        <v>#N/A</v>
      </c>
      <c r="Q188" s="1" t="str">
        <f t="shared" si="7"/>
        <v>#N/A</v>
      </c>
      <c r="R188" s="1" t="str">
        <f t="shared" si="8"/>
        <v>#N/A</v>
      </c>
      <c r="S188" s="1" t="str">
        <f t="shared" si="9"/>
        <v>#N/A</v>
      </c>
      <c r="T188" s="1" t="str">
        <f t="shared" si="10"/>
        <v>#N/A</v>
      </c>
      <c r="U188" s="1">
        <f t="shared" si="11"/>
        <v>5</v>
      </c>
      <c r="V188" s="8">
        <f t="shared" si="12"/>
        <v>150.54</v>
      </c>
      <c r="W188" s="1" t="str">
        <f t="shared" si="13"/>
        <v>#N/A</v>
      </c>
      <c r="X188" s="1" t="str">
        <f t="shared" si="14"/>
        <v>#N/A</v>
      </c>
    </row>
    <row r="189">
      <c r="A189" s="1" t="str">
        <f>TRIM(CLEAN(PROPER(peakflow_q1_2025_dirty!A191)))</f>
        <v>D-1084</v>
      </c>
      <c r="B189" s="10">
        <f>DATEVALUE(TRIM(CLEAN(peakflow_q1_2025_dirty!B191)))</f>
        <v>45722</v>
      </c>
      <c r="C189" s="1" t="str">
        <f>TRIM(CLEAN(PROPER(peakflow_q1_2025_dirty!C191)))</f>
        <v>Verdant Inc</v>
      </c>
      <c r="D189" s="1" t="str">
        <f>TRIM(CLEAN(PROPER(peakflow_q1_2025_dirty!D191)))</f>
        <v>Starter Plan</v>
      </c>
      <c r="E189" s="1" t="str">
        <f>TRIM(CLEAN(PROPER(peakflow_q1_2025_dirty!E191)))</f>
        <v>Carlos Mendez</v>
      </c>
      <c r="F189" s="1" t="str">
        <f>TRIM(CLEAN(PROPER(peakflow_q1_2025_dirty!F191)))</f>
        <v>Maya Rodriguez</v>
      </c>
      <c r="G189" s="1" t="str">
        <f>TRIM(CLEAN(UPPER(peakflow_q1_2025_dirty!G191)))</f>
        <v>LATAM</v>
      </c>
      <c r="H189" s="1">
        <f>VALUE(TRIM((CLEAN(peakflow_q1_2025_dirty!H191))))</f>
        <v>2</v>
      </c>
      <c r="I189" s="8">
        <f>VALUE(SUBSTITUTE(peakflow_q1_2025_dirty!I191,".","," ))</f>
        <v>48.7</v>
      </c>
      <c r="J189" s="8">
        <f t="shared" si="1"/>
        <v>97.4</v>
      </c>
      <c r="K189" s="1" t="str">
        <f t="shared" si="2"/>
        <v>März</v>
      </c>
      <c r="M189" s="1" t="str">
        <f t="shared" si="3"/>
        <v>#N/A</v>
      </c>
      <c r="N189" s="1" t="str">
        <f t="shared" si="4"/>
        <v>#N/A</v>
      </c>
      <c r="O189" s="1" t="str">
        <f t="shared" si="5"/>
        <v>#N/A</v>
      </c>
      <c r="P189" s="1" t="str">
        <f t="shared" si="6"/>
        <v>#N/A</v>
      </c>
      <c r="Q189" s="1" t="str">
        <f t="shared" si="7"/>
        <v>#N/A</v>
      </c>
      <c r="R189" s="1" t="str">
        <f t="shared" si="8"/>
        <v>#N/A</v>
      </c>
      <c r="S189" s="1" t="str">
        <f t="shared" si="9"/>
        <v>#N/A</v>
      </c>
      <c r="T189" s="1" t="str">
        <f t="shared" si="10"/>
        <v>#N/A</v>
      </c>
      <c r="U189" s="1" t="str">
        <f t="shared" si="11"/>
        <v>#N/A</v>
      </c>
      <c r="V189" s="1" t="str">
        <f t="shared" si="12"/>
        <v>#N/A</v>
      </c>
      <c r="W189" s="1">
        <f t="shared" si="13"/>
        <v>2</v>
      </c>
      <c r="X189" s="8">
        <f t="shared" si="14"/>
        <v>48.7</v>
      </c>
    </row>
    <row r="190">
      <c r="A190" s="1" t="str">
        <f>TRIM(CLEAN(PROPER(peakflow_q1_2025_dirty!A192)))</f>
        <v>D-1174</v>
      </c>
      <c r="B190" s="10">
        <f>DATEVALUE(TRIM(CLEAN(peakflow_q1_2025_dirty!B192)))</f>
        <v>45723</v>
      </c>
      <c r="C190" s="1" t="str">
        <f>TRIM(CLEAN(PROPER(peakflow_q1_2025_dirty!C192)))</f>
        <v>Catalyst Inc</v>
      </c>
      <c r="D190" s="1" t="str">
        <f>TRIM(CLEAN(PROPER(peakflow_q1_2025_dirty!D192)))</f>
        <v>Pro Plan</v>
      </c>
      <c r="E190" s="1" t="str">
        <f>TRIM(CLEAN(PROPER(peakflow_q1_2025_dirty!E192)))</f>
        <v>Nina Petrov</v>
      </c>
      <c r="F190" s="1" t="str">
        <f>TRIM(CLEAN(PROPER(peakflow_q1_2025_dirty!F192)))</f>
        <v>Lukas Becker</v>
      </c>
      <c r="G190" s="1" t="str">
        <f>TRIM(CLEAN(UPPER(peakflow_q1_2025_dirty!G192)))</f>
        <v>EMEA</v>
      </c>
      <c r="H190" s="1">
        <f>VALUE(TRIM((CLEAN(peakflow_q1_2025_dirty!H192))))</f>
        <v>1</v>
      </c>
      <c r="I190" s="8">
        <f>VALUE(SUBSTITUTE(peakflow_q1_2025_dirty!I192,".","," ))</f>
        <v>153.64</v>
      </c>
      <c r="J190" s="8">
        <f t="shared" si="1"/>
        <v>153.64</v>
      </c>
      <c r="K190" s="1" t="str">
        <f t="shared" si="2"/>
        <v>März</v>
      </c>
      <c r="M190" s="1" t="str">
        <f t="shared" si="3"/>
        <v>#N/A</v>
      </c>
      <c r="N190" s="1" t="str">
        <f t="shared" si="4"/>
        <v>#N/A</v>
      </c>
      <c r="O190" s="1" t="str">
        <f t="shared" si="5"/>
        <v>#N/A</v>
      </c>
      <c r="P190" s="1" t="str">
        <f t="shared" si="6"/>
        <v>#N/A</v>
      </c>
      <c r="Q190" s="1" t="str">
        <f t="shared" si="7"/>
        <v>#N/A</v>
      </c>
      <c r="R190" s="1" t="str">
        <f t="shared" si="8"/>
        <v>#N/A</v>
      </c>
      <c r="S190" s="1" t="str">
        <f t="shared" si="9"/>
        <v>#N/A</v>
      </c>
      <c r="T190" s="1" t="str">
        <f t="shared" si="10"/>
        <v>#N/A</v>
      </c>
      <c r="U190" s="1">
        <f t="shared" si="11"/>
        <v>1</v>
      </c>
      <c r="V190" s="8">
        <f t="shared" si="12"/>
        <v>153.64</v>
      </c>
      <c r="W190" s="1" t="str">
        <f t="shared" si="13"/>
        <v>#N/A</v>
      </c>
      <c r="X190" s="1" t="str">
        <f t="shared" si="14"/>
        <v>#N/A</v>
      </c>
    </row>
    <row r="191">
      <c r="A191" s="1" t="str">
        <f>TRIM(CLEAN(PROPER(peakflow_q1_2025_dirty!A193)))</f>
        <v>D-1086</v>
      </c>
      <c r="B191" s="10">
        <f>DATEVALUE(TRIM(CLEAN(peakflow_q1_2025_dirty!B193)))</f>
        <v>45724</v>
      </c>
      <c r="C191" s="1" t="str">
        <f>TRIM(CLEAN(PROPER(peakflow_q1_2025_dirty!C193)))</f>
        <v>Lattice Co</v>
      </c>
      <c r="D191" s="1" t="str">
        <f>TRIM(CLEAN(PROPER(peakflow_q1_2025_dirty!D193)))</f>
        <v>Pro Plan</v>
      </c>
      <c r="E191" s="1" t="str">
        <f>TRIM(CLEAN(PROPER(peakflow_q1_2025_dirty!E193)))</f>
        <v>Aisha Hassan</v>
      </c>
      <c r="F191" s="1" t="str">
        <f>TRIM(CLEAN(PROPER(peakflow_q1_2025_dirty!F193)))</f>
        <v>Sarah Chen</v>
      </c>
      <c r="G191" s="1" t="str">
        <f>TRIM(CLEAN(UPPER(peakflow_q1_2025_dirty!G193)))</f>
        <v>APAC</v>
      </c>
      <c r="H191" s="1">
        <f>VALUE(TRIM((CLEAN(peakflow_q1_2025_dirty!H193))))</f>
        <v>1</v>
      </c>
      <c r="I191" s="8">
        <f>VALUE(SUBSTITUTE(peakflow_q1_2025_dirty!I193,".","," ))</f>
        <v>203.26</v>
      </c>
      <c r="J191" s="8">
        <f t="shared" si="1"/>
        <v>203.26</v>
      </c>
      <c r="K191" s="1" t="str">
        <f t="shared" si="2"/>
        <v>März</v>
      </c>
      <c r="M191" s="1" t="str">
        <f t="shared" si="3"/>
        <v>#N/A</v>
      </c>
      <c r="N191" s="1" t="str">
        <f t="shared" si="4"/>
        <v>#N/A</v>
      </c>
      <c r="O191" s="1" t="str">
        <f t="shared" si="5"/>
        <v>#N/A</v>
      </c>
      <c r="P191" s="1" t="str">
        <f t="shared" si="6"/>
        <v>#N/A</v>
      </c>
      <c r="Q191" s="1" t="str">
        <f t="shared" si="7"/>
        <v>#N/A</v>
      </c>
      <c r="R191" s="1" t="str">
        <f t="shared" si="8"/>
        <v>#N/A</v>
      </c>
      <c r="S191" s="1" t="str">
        <f t="shared" si="9"/>
        <v>#N/A</v>
      </c>
      <c r="T191" s="1" t="str">
        <f t="shared" si="10"/>
        <v>#N/A</v>
      </c>
      <c r="U191" s="1">
        <f t="shared" si="11"/>
        <v>1</v>
      </c>
      <c r="V191" s="8">
        <f t="shared" si="12"/>
        <v>203.26</v>
      </c>
      <c r="W191" s="1" t="str">
        <f t="shared" si="13"/>
        <v>#N/A</v>
      </c>
      <c r="X191" s="1" t="str">
        <f t="shared" si="14"/>
        <v>#N/A</v>
      </c>
    </row>
    <row r="192">
      <c r="A192" s="1" t="str">
        <f>TRIM(CLEAN(PROPER(peakflow_q1_2025_dirty!A194)))</f>
        <v>D-1094</v>
      </c>
      <c r="B192" s="10">
        <f>DATEVALUE(TRIM(CLEAN(peakflow_q1_2025_dirty!B194)))</f>
        <v>45724</v>
      </c>
      <c r="C192" s="1" t="str">
        <f>TRIM(CLEAN(PROPER(peakflow_q1_2025_dirty!C194)))</f>
        <v>Atlas Group</v>
      </c>
      <c r="D192" s="1" t="str">
        <f>TRIM(CLEAN(PROPER(peakflow_q1_2025_dirty!D194)))</f>
        <v>Business Plan</v>
      </c>
      <c r="E192" s="1" t="str">
        <f>TRIM(CLEAN(PROPER(peakflow_q1_2025_dirty!E194)))</f>
        <v>Hannah Lee</v>
      </c>
      <c r="F192" s="1" t="str">
        <f>TRIM(CLEAN(PROPER(peakflow_q1_2025_dirty!F194)))</f>
        <v>Owen Walsh</v>
      </c>
      <c r="G192" s="1" t="str">
        <f>TRIM(CLEAN(UPPER(peakflow_q1_2025_dirty!G194)))</f>
        <v>LATAM</v>
      </c>
      <c r="H192" s="1">
        <f>VALUE(TRIM((CLEAN(peakflow_q1_2025_dirty!H194))))</f>
        <v>5</v>
      </c>
      <c r="I192" s="8">
        <f>VALUE(SUBSTITUTE(peakflow_q1_2025_dirty!I194,".","," ))</f>
        <v>433.61</v>
      </c>
      <c r="J192" s="8">
        <f t="shared" si="1"/>
        <v>2168.05</v>
      </c>
      <c r="K192" s="1" t="str">
        <f t="shared" si="2"/>
        <v>März</v>
      </c>
      <c r="M192" s="1" t="str">
        <f t="shared" si="3"/>
        <v>#N/A</v>
      </c>
      <c r="N192" s="1" t="str">
        <f t="shared" si="4"/>
        <v>#N/A</v>
      </c>
      <c r="O192" s="1" t="str">
        <f t="shared" si="5"/>
        <v>#N/A</v>
      </c>
      <c r="P192" s="1" t="str">
        <f t="shared" si="6"/>
        <v>#N/A</v>
      </c>
      <c r="Q192" s="1">
        <f t="shared" si="7"/>
        <v>5</v>
      </c>
      <c r="R192" s="8">
        <f t="shared" si="8"/>
        <v>433.61</v>
      </c>
      <c r="S192" s="1" t="str">
        <f t="shared" si="9"/>
        <v>#N/A</v>
      </c>
      <c r="T192" s="1" t="str">
        <f t="shared" si="10"/>
        <v>#N/A</v>
      </c>
      <c r="U192" s="1" t="str">
        <f t="shared" si="11"/>
        <v>#N/A</v>
      </c>
      <c r="V192" s="1" t="str">
        <f t="shared" si="12"/>
        <v>#N/A</v>
      </c>
      <c r="W192" s="1" t="str">
        <f t="shared" si="13"/>
        <v>#N/A</v>
      </c>
      <c r="X192" s="1" t="str">
        <f t="shared" si="14"/>
        <v>#N/A</v>
      </c>
    </row>
    <row r="193">
      <c r="A193" s="1" t="str">
        <f>TRIM(CLEAN(PROPER(peakflow_q1_2025_dirty!A195)))</f>
        <v>D-1160</v>
      </c>
      <c r="B193" s="10">
        <f>DATEVALUE(TRIM(CLEAN(peakflow_q1_2025_dirty!B195)))</f>
        <v>45724</v>
      </c>
      <c r="C193" s="1" t="str">
        <f>TRIM(CLEAN(PROPER(peakflow_q1_2025_dirty!C195)))</f>
        <v>Solstice Group</v>
      </c>
      <c r="D193" s="1" t="str">
        <f>TRIM(CLEAN(PROPER(peakflow_q1_2025_dirty!D195)))</f>
        <v>Pro Plan</v>
      </c>
      <c r="E193" s="1" t="str">
        <f>TRIM(CLEAN(PROPER(peakflow_q1_2025_dirty!E195)))</f>
        <v>Raj Sharma</v>
      </c>
      <c r="F193" s="1" t="str">
        <f>TRIM(CLEAN(PROPER(peakflow_q1_2025_dirty!F195)))</f>
        <v>Owen Walsh</v>
      </c>
      <c r="G193" s="1" t="str">
        <f>TRIM(CLEAN(PROPER(peakflow_q1_2025_dirty!G195)))</f>
        <v>North America</v>
      </c>
      <c r="H193" s="1">
        <f>VALUE(TRIM((CLEAN(peakflow_q1_2025_dirty!H195))))</f>
        <v>1</v>
      </c>
      <c r="I193" s="8">
        <f>VALUE(SUBSTITUTE(peakflow_q1_2025_dirty!I195,".","," ))</f>
        <v>186.32</v>
      </c>
      <c r="J193" s="8">
        <f t="shared" si="1"/>
        <v>186.32</v>
      </c>
      <c r="K193" s="1" t="str">
        <f t="shared" si="2"/>
        <v>März</v>
      </c>
      <c r="M193" s="1" t="str">
        <f t="shared" si="3"/>
        <v>#N/A</v>
      </c>
      <c r="N193" s="1" t="str">
        <f t="shared" si="4"/>
        <v>#N/A</v>
      </c>
      <c r="O193" s="1" t="str">
        <f t="shared" si="5"/>
        <v>#N/A</v>
      </c>
      <c r="P193" s="1" t="str">
        <f t="shared" si="6"/>
        <v>#N/A</v>
      </c>
      <c r="Q193" s="1" t="str">
        <f t="shared" si="7"/>
        <v>#N/A</v>
      </c>
      <c r="R193" s="1" t="str">
        <f t="shared" si="8"/>
        <v>#N/A</v>
      </c>
      <c r="S193" s="1" t="str">
        <f t="shared" si="9"/>
        <v>#N/A</v>
      </c>
      <c r="T193" s="1" t="str">
        <f t="shared" si="10"/>
        <v>#N/A</v>
      </c>
      <c r="U193" s="1">
        <f t="shared" si="11"/>
        <v>1</v>
      </c>
      <c r="V193" s="8">
        <f t="shared" si="12"/>
        <v>186.32</v>
      </c>
      <c r="W193" s="1" t="str">
        <f t="shared" si="13"/>
        <v>#N/A</v>
      </c>
      <c r="X193" s="1" t="str">
        <f t="shared" si="14"/>
        <v>#N/A</v>
      </c>
    </row>
    <row r="194">
      <c r="A194" s="1" t="str">
        <f>TRIM(CLEAN(PROPER(peakflow_q1_2025_dirty!A196)))</f>
        <v>D-1004</v>
      </c>
      <c r="B194" s="10">
        <f>DATEVALUE(TRIM(CLEAN(peakflow_q1_2025_dirty!B196)))</f>
        <v>45725</v>
      </c>
      <c r="C194" s="1" t="str">
        <f>TRIM(CLEAN(PROPER(peakflow_q1_2025_dirty!C196)))</f>
        <v>Prism Group</v>
      </c>
      <c r="D194" s="1" t="str">
        <f>TRIM(CLEAN(PROPER(peakflow_q1_2025_dirty!D196)))</f>
        <v>Business Plan</v>
      </c>
      <c r="E194" s="1" t="str">
        <f>TRIM(CLEAN(PROPER(peakflow_q1_2025_dirty!E196)))</f>
        <v>Aisha Hassan</v>
      </c>
      <c r="F194" s="1" t="str">
        <f>TRIM(CLEAN(PROPER(peakflow_q1_2025_dirty!F196)))</f>
        <v>Sarah Chen</v>
      </c>
      <c r="G194" s="1" t="str">
        <f>TRIM(CLEAN(UPPER(peakflow_q1_2025_dirty!G196)))</f>
        <v>LATAM</v>
      </c>
      <c r="H194" s="1">
        <f>VALUE(TRIM((CLEAN(peakflow_q1_2025_dirty!H196))))</f>
        <v>1</v>
      </c>
      <c r="I194" s="8">
        <f>VALUE(SUBSTITUTE(peakflow_q1_2025_dirty!I196,".","," ))</f>
        <v>492.03</v>
      </c>
      <c r="J194" s="8">
        <f t="shared" si="1"/>
        <v>492.03</v>
      </c>
      <c r="K194" s="1" t="str">
        <f t="shared" si="2"/>
        <v>März</v>
      </c>
      <c r="M194" s="1" t="str">
        <f t="shared" si="3"/>
        <v>#N/A</v>
      </c>
      <c r="N194" s="1" t="str">
        <f t="shared" si="4"/>
        <v>#N/A</v>
      </c>
      <c r="O194" s="1" t="str">
        <f t="shared" si="5"/>
        <v>#N/A</v>
      </c>
      <c r="P194" s="1" t="str">
        <f t="shared" si="6"/>
        <v>#N/A</v>
      </c>
      <c r="Q194" s="1">
        <f t="shared" si="7"/>
        <v>1</v>
      </c>
      <c r="R194" s="8">
        <f t="shared" si="8"/>
        <v>492.03</v>
      </c>
      <c r="S194" s="1" t="str">
        <f t="shared" si="9"/>
        <v>#N/A</v>
      </c>
      <c r="T194" s="1" t="str">
        <f t="shared" si="10"/>
        <v>#N/A</v>
      </c>
      <c r="U194" s="1" t="str">
        <f t="shared" si="11"/>
        <v>#N/A</v>
      </c>
      <c r="V194" s="1" t="str">
        <f t="shared" si="12"/>
        <v>#N/A</v>
      </c>
      <c r="W194" s="1" t="str">
        <f t="shared" si="13"/>
        <v>#N/A</v>
      </c>
      <c r="X194" s="1" t="str">
        <f t="shared" si="14"/>
        <v>#N/A</v>
      </c>
    </row>
    <row r="195">
      <c r="A195" s="1" t="str">
        <f>TRIM(CLEAN(PROPER(peakflow_q1_2025_dirty!A197)))</f>
        <v>D-1061</v>
      </c>
      <c r="B195" s="10">
        <f>DATEVALUE(TRIM(CLEAN(peakflow_q1_2025_dirty!B197)))</f>
        <v>45725</v>
      </c>
      <c r="C195" s="1" t="str">
        <f>TRIM(CLEAN(PROPER(peakflow_q1_2025_dirty!C197)))</f>
        <v>Nimbus Co</v>
      </c>
      <c r="D195" s="1" t="str">
        <f>TRIM(CLEAN(PROPER(peakflow_q1_2025_dirty!D197)))</f>
        <v>Pro Plan</v>
      </c>
      <c r="E195" s="1" t="str">
        <f>TRIM(CLEAN(PROPER(peakflow_q1_2025_dirty!E197)))</f>
        <v>Marcus Johnson</v>
      </c>
      <c r="F195" s="1" t="str">
        <f>TRIM(CLEAN(PROPER(peakflow_q1_2025_dirty!F197)))</f>
        <v>Sarah Chen</v>
      </c>
      <c r="G195" s="1" t="str">
        <f>TRIM(CLEAN(UPPER(peakflow_q1_2025_dirty!G197)))</f>
        <v>EMEA</v>
      </c>
      <c r="H195" s="1">
        <f>VALUE(TRIM((CLEAN(peakflow_q1_2025_dirty!H197))))</f>
        <v>5</v>
      </c>
      <c r="I195" s="8">
        <f>VALUE(SUBSTITUTE(peakflow_q1_2025_dirty!I197,".","," ))</f>
        <v>213.15</v>
      </c>
      <c r="J195" s="8">
        <f t="shared" si="1"/>
        <v>1065.75</v>
      </c>
      <c r="K195" s="1" t="str">
        <f t="shared" si="2"/>
        <v>März</v>
      </c>
      <c r="M195" s="1" t="str">
        <f t="shared" si="3"/>
        <v>#N/A</v>
      </c>
      <c r="N195" s="1" t="str">
        <f t="shared" si="4"/>
        <v>#N/A</v>
      </c>
      <c r="O195" s="1" t="str">
        <f t="shared" si="5"/>
        <v>#N/A</v>
      </c>
      <c r="P195" s="1" t="str">
        <f t="shared" si="6"/>
        <v>#N/A</v>
      </c>
      <c r="Q195" s="1" t="str">
        <f t="shared" si="7"/>
        <v>#N/A</v>
      </c>
      <c r="R195" s="1" t="str">
        <f t="shared" si="8"/>
        <v>#N/A</v>
      </c>
      <c r="S195" s="1" t="str">
        <f t="shared" si="9"/>
        <v>#N/A</v>
      </c>
      <c r="T195" s="1" t="str">
        <f t="shared" si="10"/>
        <v>#N/A</v>
      </c>
      <c r="U195" s="1">
        <f t="shared" si="11"/>
        <v>5</v>
      </c>
      <c r="V195" s="8">
        <f t="shared" si="12"/>
        <v>213.15</v>
      </c>
      <c r="W195" s="1" t="str">
        <f t="shared" si="13"/>
        <v>#N/A</v>
      </c>
      <c r="X195" s="1" t="str">
        <f t="shared" si="14"/>
        <v>#N/A</v>
      </c>
    </row>
    <row r="196">
      <c r="A196" s="1" t="str">
        <f>TRIM(CLEAN(PROPER(peakflow_q1_2025_dirty!A198)))</f>
        <v>D-1065</v>
      </c>
      <c r="B196" s="10">
        <f>DATEVALUE(TRIM(CLEAN(peakflow_q1_2025_dirty!B198)))</f>
        <v>45725</v>
      </c>
      <c r="C196" s="1" t="str">
        <f>TRIM(CLEAN(PROPER(peakflow_q1_2025_dirty!C198)))</f>
        <v>Borealis Co</v>
      </c>
      <c r="D196" s="1" t="str">
        <f>TRIM(CLEAN(PROPER(peakflow_q1_2025_dirty!D198)))</f>
        <v>Starter Plan</v>
      </c>
      <c r="E196" s="1" t="str">
        <f>TRIM(CLEAN(PROPER(peakflow_q1_2025_dirty!E198)))</f>
        <v>Tom Wilson</v>
      </c>
      <c r="F196" s="1" t="str">
        <f>TRIM(CLEAN(PROPER(peakflow_q1_2025_dirty!F198)))</f>
        <v>Lukas Becker</v>
      </c>
      <c r="G196" s="1" t="str">
        <f>TRIM(CLEAN(UPPER(peakflow_q1_2025_dirty!G198)))</f>
        <v>APAC</v>
      </c>
      <c r="H196" s="1">
        <f>VALUE(TRIM((CLEAN(peakflow_q1_2025_dirty!H198))))</f>
        <v>2</v>
      </c>
      <c r="I196" s="8">
        <f>VALUE(SUBSTITUTE(peakflow_q1_2025_dirty!I198,".","," ))</f>
        <v>67.86</v>
      </c>
      <c r="J196" s="8">
        <f t="shared" si="1"/>
        <v>135.72</v>
      </c>
      <c r="K196" s="1" t="str">
        <f t="shared" si="2"/>
        <v>März</v>
      </c>
      <c r="M196" s="1" t="str">
        <f t="shared" si="3"/>
        <v>#N/A</v>
      </c>
      <c r="N196" s="1" t="str">
        <f t="shared" si="4"/>
        <v>#N/A</v>
      </c>
      <c r="O196" s="1" t="str">
        <f t="shared" si="5"/>
        <v>#N/A</v>
      </c>
      <c r="P196" s="1" t="str">
        <f t="shared" si="6"/>
        <v>#N/A</v>
      </c>
      <c r="Q196" s="1" t="str">
        <f t="shared" si="7"/>
        <v>#N/A</v>
      </c>
      <c r="R196" s="1" t="str">
        <f t="shared" si="8"/>
        <v>#N/A</v>
      </c>
      <c r="S196" s="1" t="str">
        <f t="shared" si="9"/>
        <v>#N/A</v>
      </c>
      <c r="T196" s="1" t="str">
        <f t="shared" si="10"/>
        <v>#N/A</v>
      </c>
      <c r="U196" s="1" t="str">
        <f t="shared" si="11"/>
        <v>#N/A</v>
      </c>
      <c r="V196" s="1" t="str">
        <f t="shared" si="12"/>
        <v>#N/A</v>
      </c>
      <c r="W196" s="1">
        <f t="shared" si="13"/>
        <v>2</v>
      </c>
      <c r="X196" s="8">
        <f t="shared" si="14"/>
        <v>67.86</v>
      </c>
    </row>
    <row r="197">
      <c r="A197" s="1" t="str">
        <f>TRIM(CLEAN(PROPER(peakflow_q1_2025_dirty!A199)))</f>
        <v>D-1127</v>
      </c>
      <c r="B197" s="10">
        <f>DATEVALUE(TRIM(CLEAN(peakflow_q1_2025_dirty!B199)))</f>
        <v>45726</v>
      </c>
      <c r="C197" s="1" t="str">
        <f>TRIM(CLEAN(PROPER(peakflow_q1_2025_dirty!C199)))</f>
        <v>Meridian Group</v>
      </c>
      <c r="D197" s="1" t="str">
        <f>TRIM(CLEAN(PROPER(peakflow_q1_2025_dirty!D199)))</f>
        <v>Starter Plan</v>
      </c>
      <c r="E197" s="1" t="str">
        <f>TRIM(CLEAN(PROPER(peakflow_q1_2025_dirty!E199)))</f>
        <v>Carlos Mendez</v>
      </c>
      <c r="F197" s="1" t="str">
        <f>TRIM(CLEAN(PROPER(peakflow_q1_2025_dirty!F199)))</f>
        <v>Maya Rodriguez</v>
      </c>
      <c r="G197" s="1" t="str">
        <f>TRIM(CLEAN(UPPER(peakflow_q1_2025_dirty!G199)))</f>
        <v>LATAM</v>
      </c>
      <c r="H197" s="1">
        <f>VALUE(TRIM((CLEAN(peakflow_q1_2025_dirty!H199))))</f>
        <v>2</v>
      </c>
      <c r="I197" s="8">
        <f>VALUE(SUBSTITUTE(peakflow_q1_2025_dirty!I199,".","," ))</f>
        <v>63.83</v>
      </c>
      <c r="J197" s="8">
        <f t="shared" si="1"/>
        <v>127.66</v>
      </c>
      <c r="K197" s="1" t="str">
        <f t="shared" si="2"/>
        <v>März</v>
      </c>
      <c r="M197" s="1" t="str">
        <f t="shared" si="3"/>
        <v>#N/A</v>
      </c>
      <c r="N197" s="1" t="str">
        <f t="shared" si="4"/>
        <v>#N/A</v>
      </c>
      <c r="O197" s="1" t="str">
        <f t="shared" si="5"/>
        <v>#N/A</v>
      </c>
      <c r="P197" s="1" t="str">
        <f t="shared" si="6"/>
        <v>#N/A</v>
      </c>
      <c r="Q197" s="1" t="str">
        <f t="shared" si="7"/>
        <v>#N/A</v>
      </c>
      <c r="R197" s="1" t="str">
        <f t="shared" si="8"/>
        <v>#N/A</v>
      </c>
      <c r="S197" s="1" t="str">
        <f t="shared" si="9"/>
        <v>#N/A</v>
      </c>
      <c r="T197" s="1" t="str">
        <f t="shared" si="10"/>
        <v>#N/A</v>
      </c>
      <c r="U197" s="1" t="str">
        <f t="shared" si="11"/>
        <v>#N/A</v>
      </c>
      <c r="V197" s="1" t="str">
        <f t="shared" si="12"/>
        <v>#N/A</v>
      </c>
      <c r="W197" s="1">
        <f t="shared" si="13"/>
        <v>2</v>
      </c>
      <c r="X197" s="8">
        <f t="shared" si="14"/>
        <v>63.83</v>
      </c>
    </row>
    <row r="198">
      <c r="A198" s="1" t="str">
        <f>TRIM(CLEAN(PROPER(peakflow_q1_2025_dirty!A200)))</f>
        <v>D-1060</v>
      </c>
      <c r="B198" s="10">
        <f>DATEVALUE(TRIM(CLEAN(peakflow_q1_2025_dirty!B200)))</f>
        <v>45727</v>
      </c>
      <c r="C198" s="1" t="str">
        <f>TRIM(CLEAN(PROPER(peakflow_q1_2025_dirty!C200)))</f>
        <v>Meridian Group</v>
      </c>
      <c r="D198" s="1" t="str">
        <f>TRIM(CLEAN(PROPER(peakflow_q1_2025_dirty!D200)))</f>
        <v>Starter Plan</v>
      </c>
      <c r="E198" s="1" t="str">
        <f>TRIM(CLEAN(PROPER(peakflow_q1_2025_dirty!E200)))</f>
        <v>Aisha Hassan</v>
      </c>
      <c r="F198" s="1" t="str">
        <f>TRIM(CLEAN(PROPER(peakflow_q1_2025_dirty!F200)))</f>
        <v>Sarah Chen</v>
      </c>
      <c r="G198" s="1" t="str">
        <f>TRIM(CLEAN(UPPER(peakflow_q1_2025_dirty!G200)))</f>
        <v>APAC</v>
      </c>
      <c r="H198" s="1">
        <f>VALUE(TRIM((CLEAN(peakflow_q1_2025_dirty!H200))))</f>
        <v>5</v>
      </c>
      <c r="I198" s="8">
        <f>VALUE(SUBSTITUTE(peakflow_q1_2025_dirty!I200,".","," ))</f>
        <v>60.18</v>
      </c>
      <c r="J198" s="8">
        <f t="shared" si="1"/>
        <v>300.9</v>
      </c>
      <c r="K198" s="1" t="str">
        <f t="shared" si="2"/>
        <v>März</v>
      </c>
      <c r="M198" s="1" t="str">
        <f t="shared" si="3"/>
        <v>#N/A</v>
      </c>
      <c r="N198" s="1" t="str">
        <f t="shared" si="4"/>
        <v>#N/A</v>
      </c>
      <c r="O198" s="1" t="str">
        <f t="shared" si="5"/>
        <v>#N/A</v>
      </c>
      <c r="P198" s="1" t="str">
        <f t="shared" si="6"/>
        <v>#N/A</v>
      </c>
      <c r="Q198" s="1" t="str">
        <f t="shared" si="7"/>
        <v>#N/A</v>
      </c>
      <c r="R198" s="1" t="str">
        <f t="shared" si="8"/>
        <v>#N/A</v>
      </c>
      <c r="S198" s="1" t="str">
        <f t="shared" si="9"/>
        <v>#N/A</v>
      </c>
      <c r="T198" s="1" t="str">
        <f t="shared" si="10"/>
        <v>#N/A</v>
      </c>
      <c r="U198" s="1" t="str">
        <f t="shared" si="11"/>
        <v>#N/A</v>
      </c>
      <c r="V198" s="1" t="str">
        <f t="shared" si="12"/>
        <v>#N/A</v>
      </c>
      <c r="W198" s="1">
        <f t="shared" si="13"/>
        <v>5</v>
      </c>
      <c r="X198" s="8">
        <f t="shared" si="14"/>
        <v>60.18</v>
      </c>
    </row>
    <row r="199">
      <c r="A199" s="1" t="str">
        <f>TRIM(CLEAN(PROPER(peakflow_q1_2025_dirty!A201)))</f>
        <v>D-1098</v>
      </c>
      <c r="B199" s="10">
        <f>DATEVALUE(TRIM(CLEAN(peakflow_q1_2025_dirty!B201)))</f>
        <v>45727</v>
      </c>
      <c r="C199" s="1" t="str">
        <f>TRIM(CLEAN(PROPER(peakflow_q1_2025_dirty!C201)))</f>
        <v>Helix Systems</v>
      </c>
      <c r="D199" s="1" t="str">
        <f>TRIM(CLEAN(PROPER(peakflow_q1_2025_dirty!D201)))</f>
        <v>Starter Plan</v>
      </c>
      <c r="E199" s="1" t="str">
        <f>TRIM(CLEAN(PROPER(peakflow_q1_2025_dirty!E201)))</f>
        <v>Aisha Hassan</v>
      </c>
      <c r="F199" s="1" t="str">
        <f>TRIM(CLEAN(PROPER(peakflow_q1_2025_dirty!F201)))</f>
        <v>Sarah Chen</v>
      </c>
      <c r="G199" s="1" t="str">
        <f>TRIM(CLEAN(UPPER(peakflow_q1_2025_dirty!G201)))</f>
        <v>EMEA</v>
      </c>
      <c r="H199" s="1">
        <f>VALUE(TRIM((CLEAN(peakflow_q1_2025_dirty!H201))))</f>
        <v>2</v>
      </c>
      <c r="I199" s="8">
        <f>VALUE(SUBSTITUTE(peakflow_q1_2025_dirty!I201,".","," ))</f>
        <v>57.15</v>
      </c>
      <c r="J199" s="8">
        <f t="shared" si="1"/>
        <v>114.3</v>
      </c>
      <c r="K199" s="1" t="str">
        <f t="shared" si="2"/>
        <v>März</v>
      </c>
      <c r="M199" s="1" t="str">
        <f t="shared" si="3"/>
        <v>#N/A</v>
      </c>
      <c r="N199" s="1" t="str">
        <f t="shared" si="4"/>
        <v>#N/A</v>
      </c>
      <c r="O199" s="1" t="str">
        <f t="shared" si="5"/>
        <v>#N/A</v>
      </c>
      <c r="P199" s="1" t="str">
        <f t="shared" si="6"/>
        <v>#N/A</v>
      </c>
      <c r="Q199" s="1" t="str">
        <f t="shared" si="7"/>
        <v>#N/A</v>
      </c>
      <c r="R199" s="1" t="str">
        <f t="shared" si="8"/>
        <v>#N/A</v>
      </c>
      <c r="S199" s="1" t="str">
        <f t="shared" si="9"/>
        <v>#N/A</v>
      </c>
      <c r="T199" s="1" t="str">
        <f t="shared" si="10"/>
        <v>#N/A</v>
      </c>
      <c r="U199" s="1" t="str">
        <f t="shared" si="11"/>
        <v>#N/A</v>
      </c>
      <c r="V199" s="1" t="str">
        <f t="shared" si="12"/>
        <v>#N/A</v>
      </c>
      <c r="W199" s="1">
        <f t="shared" si="13"/>
        <v>2</v>
      </c>
      <c r="X199" s="8">
        <f t="shared" si="14"/>
        <v>57.15</v>
      </c>
    </row>
    <row r="200">
      <c r="A200" s="1" t="str">
        <f>TRIM(CLEAN(PROPER(peakflow_q1_2025_dirty!A202)))</f>
        <v>D-1096</v>
      </c>
      <c r="B200" s="10">
        <f>DATEVALUE(TRIM(CLEAN(peakflow_q1_2025_dirty!B202)))</f>
        <v>45728</v>
      </c>
      <c r="C200" s="1" t="str">
        <f>TRIM(CLEAN(PROPER(peakflow_q1_2025_dirty!C202)))</f>
        <v>Obsidian Co</v>
      </c>
      <c r="D200" s="1" t="str">
        <f>TRIM(CLEAN(PROPER(peakflow_q1_2025_dirty!D202)))</f>
        <v>Business Plan</v>
      </c>
      <c r="E200" s="1" t="str">
        <f>TRIM(CLEAN(PROPER(peakflow_q1_2025_dirty!E202)))</f>
        <v>Marcus Johnson</v>
      </c>
      <c r="F200" s="1" t="str">
        <f>TRIM(CLEAN(PROPER(peakflow_q1_2025_dirty!F202)))</f>
        <v>Sarah Chen</v>
      </c>
      <c r="G200" s="1" t="str">
        <f>TRIM(CLEAN(PROPER(peakflow_q1_2025_dirty!G202)))</f>
        <v>North America</v>
      </c>
      <c r="H200" s="1">
        <f>VALUE(TRIM((CLEAN(peakflow_q1_2025_dirty!H202))))</f>
        <v>1</v>
      </c>
      <c r="I200" s="8">
        <f>VALUE(SUBSTITUTE(peakflow_q1_2025_dirty!I202,".","," ))</f>
        <v>404.44</v>
      </c>
      <c r="J200" s="8">
        <f t="shared" si="1"/>
        <v>404.44</v>
      </c>
      <c r="K200" s="1" t="str">
        <f t="shared" si="2"/>
        <v>März</v>
      </c>
      <c r="M200" s="1" t="str">
        <f t="shared" si="3"/>
        <v>#N/A</v>
      </c>
      <c r="N200" s="1" t="str">
        <f t="shared" si="4"/>
        <v>#N/A</v>
      </c>
      <c r="O200" s="1" t="str">
        <f t="shared" si="5"/>
        <v>#N/A</v>
      </c>
      <c r="P200" s="1" t="str">
        <f t="shared" si="6"/>
        <v>#N/A</v>
      </c>
      <c r="Q200" s="1">
        <f t="shared" si="7"/>
        <v>1</v>
      </c>
      <c r="R200" s="8">
        <f t="shared" si="8"/>
        <v>404.44</v>
      </c>
      <c r="S200" s="1" t="str">
        <f t="shared" si="9"/>
        <v>#N/A</v>
      </c>
      <c r="T200" s="1" t="str">
        <f t="shared" si="10"/>
        <v>#N/A</v>
      </c>
      <c r="U200" s="1" t="str">
        <f t="shared" si="11"/>
        <v>#N/A</v>
      </c>
      <c r="V200" s="1" t="str">
        <f t="shared" si="12"/>
        <v>#N/A</v>
      </c>
      <c r="W200" s="1" t="str">
        <f t="shared" si="13"/>
        <v>#N/A</v>
      </c>
      <c r="X200" s="1" t="str">
        <f t="shared" si="14"/>
        <v>#N/A</v>
      </c>
    </row>
    <row r="201">
      <c r="A201" s="1" t="str">
        <f>TRIM(CLEAN(PROPER(peakflow_q1_2025_dirty!A203)))</f>
        <v>D-1130</v>
      </c>
      <c r="B201" s="10">
        <f>DATEVALUE(TRIM(CLEAN(peakflow_q1_2025_dirty!B203)))</f>
        <v>45728</v>
      </c>
      <c r="C201" s="1" t="str">
        <f>TRIM(CLEAN(PROPER(peakflow_q1_2025_dirty!C203)))</f>
        <v>Lumen Labs</v>
      </c>
      <c r="D201" s="1" t="str">
        <f>TRIM(CLEAN(PROPER(peakflow_q1_2025_dirty!D203)))</f>
        <v>Business Plan</v>
      </c>
      <c r="E201" s="1" t="str">
        <f>TRIM(CLEAN(PROPER(peakflow_q1_2025_dirty!E203)))</f>
        <v>Raj Sharma</v>
      </c>
      <c r="F201" s="1" t="str">
        <f>TRIM(CLEAN(PROPER(peakflow_q1_2025_dirty!F203)))</f>
        <v>Owen Walsh</v>
      </c>
      <c r="G201" s="1" t="str">
        <f>TRIM(CLEAN(PROPER(peakflow_q1_2025_dirty!G203)))</f>
        <v>North America</v>
      </c>
      <c r="H201" s="1">
        <f>VALUE(TRIM((CLEAN(peakflow_q1_2025_dirty!H203))))</f>
        <v>20</v>
      </c>
      <c r="I201" s="8">
        <f>VALUE(SUBSTITUTE(peakflow_q1_2025_dirty!I203,".","," ))</f>
        <v>368.26</v>
      </c>
      <c r="J201" s="8">
        <f t="shared" si="1"/>
        <v>7365.2</v>
      </c>
      <c r="K201" s="1" t="str">
        <f t="shared" si="2"/>
        <v>März</v>
      </c>
      <c r="M201" s="1" t="str">
        <f t="shared" si="3"/>
        <v>#N/A</v>
      </c>
      <c r="N201" s="1" t="str">
        <f t="shared" si="4"/>
        <v>#N/A</v>
      </c>
      <c r="O201" s="1" t="str">
        <f t="shared" si="5"/>
        <v>#N/A</v>
      </c>
      <c r="P201" s="1" t="str">
        <f t="shared" si="6"/>
        <v>#N/A</v>
      </c>
      <c r="Q201" s="1">
        <f t="shared" si="7"/>
        <v>20</v>
      </c>
      <c r="R201" s="8">
        <f t="shared" si="8"/>
        <v>368.26</v>
      </c>
      <c r="S201" s="1" t="str">
        <f t="shared" si="9"/>
        <v>#N/A</v>
      </c>
      <c r="T201" s="1" t="str">
        <f t="shared" si="10"/>
        <v>#N/A</v>
      </c>
      <c r="U201" s="1" t="str">
        <f t="shared" si="11"/>
        <v>#N/A</v>
      </c>
      <c r="V201" s="1" t="str">
        <f t="shared" si="12"/>
        <v>#N/A</v>
      </c>
      <c r="W201" s="1" t="str">
        <f t="shared" si="13"/>
        <v>#N/A</v>
      </c>
      <c r="X201" s="1" t="str">
        <f t="shared" si="14"/>
        <v>#N/A</v>
      </c>
    </row>
    <row r="202">
      <c r="A202" s="1" t="str">
        <f>TRIM(CLEAN(PROPER(peakflow_q1_2025_dirty!A204)))</f>
        <v>D-1151</v>
      </c>
      <c r="B202" s="10">
        <f>DATEVALUE(TRIM(CLEAN(peakflow_q1_2025_dirty!B204)))</f>
        <v>45728</v>
      </c>
      <c r="C202" s="1" t="str">
        <f>TRIM(CLEAN(PROPER(peakflow_q1_2025_dirty!C204)))</f>
        <v>Iris Co</v>
      </c>
      <c r="D202" s="1" t="str">
        <f>TRIM(CLEAN(PROPER(peakflow_q1_2025_dirty!D204)))</f>
        <v>Add-On: Analytics</v>
      </c>
      <c r="E202" s="1" t="str">
        <f>TRIM(CLEAN(PROPER(peakflow_q1_2025_dirty!E204)))</f>
        <v>Tom Wilson</v>
      </c>
      <c r="F202" s="1" t="str">
        <f>TRIM(CLEAN(PROPER(peakflow_q1_2025_dirty!F204)))</f>
        <v>Lukas Becker</v>
      </c>
      <c r="G202" s="1" t="str">
        <f>TRIM(CLEAN(UPPER(peakflow_q1_2025_dirty!G204)))</f>
        <v>EMEA</v>
      </c>
      <c r="H202" s="1">
        <f>VALUE(TRIM((CLEAN(peakflow_q1_2025_dirty!H204))))</f>
        <v>10</v>
      </c>
      <c r="I202" s="8">
        <f>VALUE(SUBSTITUTE(peakflow_q1_2025_dirty!I204,".","," ))</f>
        <v>72.31</v>
      </c>
      <c r="J202" s="8">
        <f t="shared" si="1"/>
        <v>723.1</v>
      </c>
      <c r="K202" s="1" t="str">
        <f t="shared" si="2"/>
        <v>März</v>
      </c>
      <c r="M202" s="1">
        <f t="shared" si="3"/>
        <v>10</v>
      </c>
      <c r="N202" s="8">
        <f t="shared" si="4"/>
        <v>72.31</v>
      </c>
      <c r="O202" s="1" t="str">
        <f t="shared" si="5"/>
        <v>#N/A</v>
      </c>
      <c r="P202" s="1" t="str">
        <f t="shared" si="6"/>
        <v>#N/A</v>
      </c>
      <c r="Q202" s="1" t="str">
        <f t="shared" si="7"/>
        <v>#N/A</v>
      </c>
      <c r="R202" s="1" t="str">
        <f t="shared" si="8"/>
        <v>#N/A</v>
      </c>
      <c r="S202" s="1" t="str">
        <f t="shared" si="9"/>
        <v>#N/A</v>
      </c>
      <c r="T202" s="1" t="str">
        <f t="shared" si="10"/>
        <v>#N/A</v>
      </c>
      <c r="U202" s="1" t="str">
        <f t="shared" si="11"/>
        <v>#N/A</v>
      </c>
      <c r="V202" s="1" t="str">
        <f t="shared" si="12"/>
        <v>#N/A</v>
      </c>
      <c r="W202" s="1" t="str">
        <f t="shared" si="13"/>
        <v>#N/A</v>
      </c>
      <c r="X202" s="1" t="str">
        <f t="shared" si="14"/>
        <v>#N/A</v>
      </c>
    </row>
    <row r="203">
      <c r="A203" s="1" t="str">
        <f>TRIM(CLEAN(PROPER(peakflow_q1_2025_dirty!A205)))</f>
        <v>D-1248</v>
      </c>
      <c r="B203" s="10">
        <f>DATEVALUE(TRIM(CLEAN(peakflow_q1_2025_dirty!B205)))</f>
        <v>45728</v>
      </c>
      <c r="C203" s="1" t="str">
        <f>TRIM(CLEAN(PROPER(peakflow_q1_2025_dirty!C205)))</f>
        <v>Quanta Labs</v>
      </c>
      <c r="D203" s="1" t="str">
        <f>TRIM(CLEAN(PROPER(peakflow_q1_2025_dirty!D205)))</f>
        <v>Enterprise Plan</v>
      </c>
      <c r="E203" s="1" t="str">
        <f>TRIM(CLEAN(PROPER(peakflow_q1_2025_dirty!E205)))</f>
        <v>David Kim</v>
      </c>
      <c r="F203" s="1" t="str">
        <f>TRIM(CLEAN(PROPER(peakflow_q1_2025_dirty!F205)))</f>
        <v>Sarah Chen</v>
      </c>
      <c r="G203" s="1" t="str">
        <f>TRIM(CLEAN(UPPER(peakflow_q1_2025_dirty!G205)))</f>
        <v>LATAM</v>
      </c>
      <c r="H203" s="1">
        <f>VALUE(TRIM((CLEAN(peakflow_q1_2025_dirty!H205))))</f>
        <v>20</v>
      </c>
      <c r="I203" s="8">
        <f>VALUE(SUBSTITUTE(peakflow_q1_2025_dirty!I205,".","," ))</f>
        <v>1203.23</v>
      </c>
      <c r="J203" s="8">
        <f t="shared" si="1"/>
        <v>24064.6</v>
      </c>
      <c r="K203" s="1" t="str">
        <f t="shared" si="2"/>
        <v>März</v>
      </c>
      <c r="M203" s="1" t="str">
        <f t="shared" si="3"/>
        <v>#N/A</v>
      </c>
      <c r="N203" s="1" t="str">
        <f t="shared" si="4"/>
        <v>#N/A</v>
      </c>
      <c r="O203" s="1" t="str">
        <f t="shared" si="5"/>
        <v>#N/A</v>
      </c>
      <c r="P203" s="1" t="str">
        <f t="shared" si="6"/>
        <v>#N/A</v>
      </c>
      <c r="Q203" s="1" t="str">
        <f t="shared" si="7"/>
        <v>#N/A</v>
      </c>
      <c r="R203" s="1" t="str">
        <f t="shared" si="8"/>
        <v>#N/A</v>
      </c>
      <c r="S203" s="1">
        <f t="shared" si="9"/>
        <v>20</v>
      </c>
      <c r="T203" s="8">
        <f t="shared" si="10"/>
        <v>1203.23</v>
      </c>
      <c r="U203" s="1" t="str">
        <f t="shared" si="11"/>
        <v>#N/A</v>
      </c>
      <c r="V203" s="1" t="str">
        <f t="shared" si="12"/>
        <v>#N/A</v>
      </c>
      <c r="W203" s="1" t="str">
        <f t="shared" si="13"/>
        <v>#N/A</v>
      </c>
      <c r="X203" s="1" t="str">
        <f t="shared" si="14"/>
        <v>#N/A</v>
      </c>
    </row>
    <row r="204">
      <c r="A204" s="1" t="str">
        <f>TRIM(CLEAN(PROPER(peakflow_q1_2025_dirty!A206)))</f>
        <v>D-1040</v>
      </c>
      <c r="B204" s="10">
        <f>DATEVALUE(TRIM(CLEAN(peakflow_q1_2025_dirty!B206)))</f>
        <v>45729</v>
      </c>
      <c r="C204" s="1" t="str">
        <f>TRIM(CLEAN(PROPER(peakflow_q1_2025_dirty!C206)))</f>
        <v>Citadel Group</v>
      </c>
      <c r="D204" s="1" t="str">
        <f>TRIM(CLEAN(PROPER(peakflow_q1_2025_dirty!D206)))</f>
        <v>Starter Plan</v>
      </c>
      <c r="E204" s="1" t="str">
        <f>TRIM(CLEAN(PROPER(peakflow_q1_2025_dirty!E206)))</f>
        <v>Aisha Hassan</v>
      </c>
      <c r="F204" s="1" t="str">
        <f>TRIM(CLEAN(PROPER(peakflow_q1_2025_dirty!F206)))</f>
        <v>Sarah Chen</v>
      </c>
      <c r="G204" s="1" t="str">
        <f>TRIM(CLEAN(UPPER(peakflow_q1_2025_dirty!G206)))</f>
        <v>APAC</v>
      </c>
      <c r="H204" s="1">
        <f>VALUE(TRIM((CLEAN(peakflow_q1_2025_dirty!H206))))</f>
        <v>1</v>
      </c>
      <c r="I204" s="8">
        <f>VALUE(SUBSTITUTE(peakflow_q1_2025_dirty!I206,".","," ))</f>
        <v>76.75</v>
      </c>
      <c r="J204" s="8">
        <f t="shared" si="1"/>
        <v>76.75</v>
      </c>
      <c r="K204" s="1" t="str">
        <f t="shared" si="2"/>
        <v>März</v>
      </c>
      <c r="M204" s="1" t="str">
        <f t="shared" si="3"/>
        <v>#N/A</v>
      </c>
      <c r="N204" s="1" t="str">
        <f t="shared" si="4"/>
        <v>#N/A</v>
      </c>
      <c r="O204" s="1" t="str">
        <f t="shared" si="5"/>
        <v>#N/A</v>
      </c>
      <c r="P204" s="1" t="str">
        <f t="shared" si="6"/>
        <v>#N/A</v>
      </c>
      <c r="Q204" s="1" t="str">
        <f t="shared" si="7"/>
        <v>#N/A</v>
      </c>
      <c r="R204" s="1" t="str">
        <f t="shared" si="8"/>
        <v>#N/A</v>
      </c>
      <c r="S204" s="1" t="str">
        <f t="shared" si="9"/>
        <v>#N/A</v>
      </c>
      <c r="T204" s="1" t="str">
        <f t="shared" si="10"/>
        <v>#N/A</v>
      </c>
      <c r="U204" s="1" t="str">
        <f t="shared" si="11"/>
        <v>#N/A</v>
      </c>
      <c r="V204" s="1" t="str">
        <f t="shared" si="12"/>
        <v>#N/A</v>
      </c>
      <c r="W204" s="1">
        <f t="shared" si="13"/>
        <v>1</v>
      </c>
      <c r="X204" s="8">
        <f t="shared" si="14"/>
        <v>76.75</v>
      </c>
    </row>
    <row r="205">
      <c r="A205" s="1" t="str">
        <f>TRIM(CLEAN(PROPER(peakflow_q1_2025_dirty!A207)))</f>
        <v>D-1147</v>
      </c>
      <c r="B205" s="10">
        <f>DATEVALUE(TRIM(CLEAN(peakflow_q1_2025_dirty!B207)))</f>
        <v>45729</v>
      </c>
      <c r="C205" s="1" t="str">
        <f>TRIM(CLEAN(PROPER(peakflow_q1_2025_dirty!C207)))</f>
        <v>Apex Group</v>
      </c>
      <c r="D205" s="1" t="str">
        <f>TRIM(CLEAN(PROPER(peakflow_q1_2025_dirty!D207)))</f>
        <v>Pro Plan</v>
      </c>
      <c r="E205" s="1" t="str">
        <f>TRIM(CLEAN(PROPER(peakflow_q1_2025_dirty!E207)))</f>
        <v>Marcus Johnson</v>
      </c>
      <c r="F205" s="1" t="str">
        <f>TRIM(CLEAN(PROPER(peakflow_q1_2025_dirty!F207)))</f>
        <v>Sarah Chen</v>
      </c>
      <c r="G205" s="1" t="str">
        <f>TRIM(CLEAN(UPPER(peakflow_q1_2025_dirty!G207)))</f>
        <v>EMEA</v>
      </c>
      <c r="H205" s="1">
        <f>VALUE(TRIM((CLEAN(peakflow_q1_2025_dirty!H207))))</f>
        <v>10</v>
      </c>
      <c r="I205" s="8">
        <f>VALUE(SUBSTITUTE(peakflow_q1_2025_dirty!I207,".","," ))</f>
        <v>162.59</v>
      </c>
      <c r="J205" s="8">
        <f t="shared" si="1"/>
        <v>1625.9</v>
      </c>
      <c r="K205" s="1" t="str">
        <f t="shared" si="2"/>
        <v>März</v>
      </c>
      <c r="M205" s="1" t="str">
        <f t="shared" si="3"/>
        <v>#N/A</v>
      </c>
      <c r="N205" s="1" t="str">
        <f t="shared" si="4"/>
        <v>#N/A</v>
      </c>
      <c r="O205" s="1" t="str">
        <f t="shared" si="5"/>
        <v>#N/A</v>
      </c>
      <c r="P205" s="1" t="str">
        <f t="shared" si="6"/>
        <v>#N/A</v>
      </c>
      <c r="Q205" s="1" t="str">
        <f t="shared" si="7"/>
        <v>#N/A</v>
      </c>
      <c r="R205" s="1" t="str">
        <f t="shared" si="8"/>
        <v>#N/A</v>
      </c>
      <c r="S205" s="1" t="str">
        <f t="shared" si="9"/>
        <v>#N/A</v>
      </c>
      <c r="T205" s="1" t="str">
        <f t="shared" si="10"/>
        <v>#N/A</v>
      </c>
      <c r="U205" s="1">
        <f t="shared" si="11"/>
        <v>10</v>
      </c>
      <c r="V205" s="8">
        <f t="shared" si="12"/>
        <v>162.59</v>
      </c>
      <c r="W205" s="1" t="str">
        <f t="shared" si="13"/>
        <v>#N/A</v>
      </c>
      <c r="X205" s="1" t="str">
        <f t="shared" si="14"/>
        <v>#N/A</v>
      </c>
    </row>
    <row r="206">
      <c r="A206" s="1" t="str">
        <f>TRIM(CLEAN(PROPER(peakflow_q1_2025_dirty!A208)))</f>
        <v>D-1183</v>
      </c>
      <c r="B206" s="10">
        <f>DATEVALUE(TRIM(CLEAN(peakflow_q1_2025_dirty!B208)))</f>
        <v>45729</v>
      </c>
      <c r="C206" s="1" t="str">
        <f>TRIM(CLEAN(PROPER(peakflow_q1_2025_dirty!C208)))</f>
        <v>Beacon Labs</v>
      </c>
      <c r="D206" s="1" t="str">
        <f>TRIM(CLEAN(PROPER(peakflow_q1_2025_dirty!D208)))</f>
        <v>Starter Plan</v>
      </c>
      <c r="E206" s="1" t="str">
        <f>TRIM(CLEAN(PROPER(peakflow_q1_2025_dirty!E208)))</f>
        <v>Aisha Hassan</v>
      </c>
      <c r="F206" s="1" t="str">
        <f>TRIM(CLEAN(PROPER(peakflow_q1_2025_dirty!F208)))</f>
        <v>Sarah Chen</v>
      </c>
      <c r="G206" s="1" t="str">
        <f>TRIM(CLEAN(PROPER(peakflow_q1_2025_dirty!G208)))</f>
        <v>North America</v>
      </c>
      <c r="H206" s="1">
        <f>VALUE(TRIM((CLEAN(peakflow_q1_2025_dirty!H208))))</f>
        <v>2</v>
      </c>
      <c r="I206" s="8">
        <f>VALUE(SUBSTITUTE(peakflow_q1_2025_dirty!I208,".","," ))</f>
        <v>58.93</v>
      </c>
      <c r="J206" s="8">
        <f t="shared" si="1"/>
        <v>117.86</v>
      </c>
      <c r="K206" s="1" t="str">
        <f t="shared" si="2"/>
        <v>März</v>
      </c>
      <c r="M206" s="1" t="str">
        <f t="shared" si="3"/>
        <v>#N/A</v>
      </c>
      <c r="N206" s="1" t="str">
        <f t="shared" si="4"/>
        <v>#N/A</v>
      </c>
      <c r="O206" s="1" t="str">
        <f t="shared" si="5"/>
        <v>#N/A</v>
      </c>
      <c r="P206" s="1" t="str">
        <f t="shared" si="6"/>
        <v>#N/A</v>
      </c>
      <c r="Q206" s="1" t="str">
        <f t="shared" si="7"/>
        <v>#N/A</v>
      </c>
      <c r="R206" s="1" t="str">
        <f t="shared" si="8"/>
        <v>#N/A</v>
      </c>
      <c r="S206" s="1" t="str">
        <f t="shared" si="9"/>
        <v>#N/A</v>
      </c>
      <c r="T206" s="1" t="str">
        <f t="shared" si="10"/>
        <v>#N/A</v>
      </c>
      <c r="U206" s="1" t="str">
        <f t="shared" si="11"/>
        <v>#N/A</v>
      </c>
      <c r="V206" s="1" t="str">
        <f t="shared" si="12"/>
        <v>#N/A</v>
      </c>
      <c r="W206" s="1">
        <f t="shared" si="13"/>
        <v>2</v>
      </c>
      <c r="X206" s="8">
        <f t="shared" si="14"/>
        <v>58.93</v>
      </c>
    </row>
    <row r="207">
      <c r="A207" s="1" t="str">
        <f>TRIM(CLEAN(PROPER(peakflow_q1_2025_dirty!A209)))</f>
        <v>D-1223</v>
      </c>
      <c r="B207" s="10">
        <f>DATEVALUE(TRIM(CLEAN(peakflow_q1_2025_dirty!B209)))</f>
        <v>45729</v>
      </c>
      <c r="C207" s="1" t="str">
        <f>TRIM(CLEAN(PROPER(peakflow_q1_2025_dirty!C209)))</f>
        <v>Obsidian Co</v>
      </c>
      <c r="D207" s="1" t="str">
        <f>TRIM(CLEAN(PROPER(peakflow_q1_2025_dirty!D209)))</f>
        <v>Business Plan</v>
      </c>
      <c r="E207" s="1" t="str">
        <f>TRIM(CLEAN(PROPER(peakflow_q1_2025_dirty!E209)))</f>
        <v>Nina Petrov</v>
      </c>
      <c r="F207" s="1" t="str">
        <f>TRIM(CLEAN(PROPER(peakflow_q1_2025_dirty!F209)))</f>
        <v>Lukas Becker</v>
      </c>
      <c r="G207" s="1" t="str">
        <f>TRIM(CLEAN(UPPER(peakflow_q1_2025_dirty!G209)))</f>
        <v>EMEA</v>
      </c>
      <c r="H207" s="1">
        <f>VALUE(TRIM((CLEAN(peakflow_q1_2025_dirty!H209))))</f>
        <v>1</v>
      </c>
      <c r="I207" s="8">
        <f>VALUE(SUBSTITUTE(peakflow_q1_2025_dirty!I209,".","," ))</f>
        <v>382.36</v>
      </c>
      <c r="J207" s="8">
        <f t="shared" si="1"/>
        <v>382.36</v>
      </c>
      <c r="K207" s="1" t="str">
        <f t="shared" si="2"/>
        <v>März</v>
      </c>
      <c r="M207" s="1" t="str">
        <f t="shared" si="3"/>
        <v>#N/A</v>
      </c>
      <c r="N207" s="1" t="str">
        <f t="shared" si="4"/>
        <v>#N/A</v>
      </c>
      <c r="O207" s="1" t="str">
        <f t="shared" si="5"/>
        <v>#N/A</v>
      </c>
      <c r="P207" s="1" t="str">
        <f t="shared" si="6"/>
        <v>#N/A</v>
      </c>
      <c r="Q207" s="1">
        <f t="shared" si="7"/>
        <v>1</v>
      </c>
      <c r="R207" s="8">
        <f t="shared" si="8"/>
        <v>382.36</v>
      </c>
      <c r="S207" s="1" t="str">
        <f t="shared" si="9"/>
        <v>#N/A</v>
      </c>
      <c r="T207" s="1" t="str">
        <f t="shared" si="10"/>
        <v>#N/A</v>
      </c>
      <c r="U207" s="1" t="str">
        <f t="shared" si="11"/>
        <v>#N/A</v>
      </c>
      <c r="V207" s="1" t="str">
        <f t="shared" si="12"/>
        <v>#N/A</v>
      </c>
      <c r="W207" s="1" t="str">
        <f t="shared" si="13"/>
        <v>#N/A</v>
      </c>
      <c r="X207" s="1" t="str">
        <f t="shared" si="14"/>
        <v>#N/A</v>
      </c>
    </row>
    <row r="208">
      <c r="A208" s="1" t="str">
        <f>TRIM(CLEAN(PROPER(peakflow_q1_2025_dirty!A210)))</f>
        <v>D-1036</v>
      </c>
      <c r="B208" s="10">
        <f>DATEVALUE(TRIM(CLEAN(peakflow_q1_2025_dirty!B210)))</f>
        <v>45730</v>
      </c>
      <c r="C208" s="1" t="str">
        <f>TRIM(CLEAN(PROPER(peakflow_q1_2025_dirty!C210)))</f>
        <v>Vertex Inc</v>
      </c>
      <c r="D208" s="1" t="str">
        <f>TRIM(CLEAN(PROPER(peakflow_q1_2025_dirty!D210)))</f>
        <v>Enterprise Plan</v>
      </c>
      <c r="E208" s="1" t="str">
        <f>TRIM(CLEAN(PROPER(peakflow_q1_2025_dirty!E210)))</f>
        <v>Marcus Johnson</v>
      </c>
      <c r="F208" s="1" t="str">
        <f>TRIM(CLEAN(PROPER(peakflow_q1_2025_dirty!F210)))</f>
        <v>Sarah Chen</v>
      </c>
      <c r="G208" s="1" t="str">
        <f>TRIM(CLEAN(UPPER(peakflow_q1_2025_dirty!G210)))</f>
        <v>APAC</v>
      </c>
      <c r="H208" s="1">
        <f>VALUE(TRIM((CLEAN(peakflow_q1_2025_dirty!H210))))</f>
        <v>1</v>
      </c>
      <c r="I208" s="8">
        <f>VALUE(SUBSTITUTE(peakflow_q1_2025_dirty!I210,".","," ))</f>
        <v>1266.86</v>
      </c>
      <c r="J208" s="8">
        <f t="shared" si="1"/>
        <v>1266.86</v>
      </c>
      <c r="K208" s="1" t="str">
        <f t="shared" si="2"/>
        <v>März</v>
      </c>
      <c r="M208" s="1" t="str">
        <f t="shared" si="3"/>
        <v>#N/A</v>
      </c>
      <c r="N208" s="1" t="str">
        <f t="shared" si="4"/>
        <v>#N/A</v>
      </c>
      <c r="O208" s="1" t="str">
        <f t="shared" si="5"/>
        <v>#N/A</v>
      </c>
      <c r="P208" s="1" t="str">
        <f t="shared" si="6"/>
        <v>#N/A</v>
      </c>
      <c r="Q208" s="1" t="str">
        <f t="shared" si="7"/>
        <v>#N/A</v>
      </c>
      <c r="R208" s="1" t="str">
        <f t="shared" si="8"/>
        <v>#N/A</v>
      </c>
      <c r="S208" s="1">
        <f t="shared" si="9"/>
        <v>1</v>
      </c>
      <c r="T208" s="8">
        <f t="shared" si="10"/>
        <v>1266.86</v>
      </c>
      <c r="U208" s="1" t="str">
        <f t="shared" si="11"/>
        <v>#N/A</v>
      </c>
      <c r="V208" s="1" t="str">
        <f t="shared" si="12"/>
        <v>#N/A</v>
      </c>
      <c r="W208" s="1" t="str">
        <f t="shared" si="13"/>
        <v>#N/A</v>
      </c>
      <c r="X208" s="1" t="str">
        <f t="shared" si="14"/>
        <v>#N/A</v>
      </c>
    </row>
    <row r="209">
      <c r="A209" s="1" t="str">
        <f>TRIM(CLEAN(PROPER(peakflow_q1_2025_dirty!A211)))</f>
        <v>D-1077</v>
      </c>
      <c r="B209" s="10">
        <f>DATEVALUE(TRIM(CLEAN(peakflow_q1_2025_dirty!B211)))</f>
        <v>45730</v>
      </c>
      <c r="C209" s="1" t="str">
        <f>TRIM(CLEAN(PROPER(peakflow_q1_2025_dirty!C211)))</f>
        <v>Rivet Co</v>
      </c>
      <c r="D209" s="1" t="str">
        <f>TRIM(CLEAN(PROPER(peakflow_q1_2025_dirty!D211)))</f>
        <v>Pro Plan</v>
      </c>
      <c r="E209" s="1" t="str">
        <f>TRIM(CLEAN(PROPER(peakflow_q1_2025_dirty!E211)))</f>
        <v>Tom Wilson</v>
      </c>
      <c r="F209" s="1" t="str">
        <f>TRIM(CLEAN(PROPER(peakflow_q1_2025_dirty!F211)))</f>
        <v>Lukas Becker</v>
      </c>
      <c r="G209" s="1" t="str">
        <f>TRIM(CLEAN(UPPER(peakflow_q1_2025_dirty!G211)))</f>
        <v>LATAM</v>
      </c>
      <c r="H209" s="1">
        <f>VALUE(TRIM((CLEAN(peakflow_q1_2025_dirty!H211))))</f>
        <v>1</v>
      </c>
      <c r="I209" s="8">
        <f>VALUE(SUBSTITUTE(peakflow_q1_2025_dirty!I211,".","," ))</f>
        <v>152.98</v>
      </c>
      <c r="J209" s="8">
        <f t="shared" si="1"/>
        <v>152.98</v>
      </c>
      <c r="K209" s="1" t="str">
        <f t="shared" si="2"/>
        <v>März</v>
      </c>
      <c r="M209" s="1" t="str">
        <f t="shared" si="3"/>
        <v>#N/A</v>
      </c>
      <c r="N209" s="1" t="str">
        <f t="shared" si="4"/>
        <v>#N/A</v>
      </c>
      <c r="O209" s="1" t="str">
        <f t="shared" si="5"/>
        <v>#N/A</v>
      </c>
      <c r="P209" s="1" t="str">
        <f t="shared" si="6"/>
        <v>#N/A</v>
      </c>
      <c r="Q209" s="1" t="str">
        <f t="shared" si="7"/>
        <v>#N/A</v>
      </c>
      <c r="R209" s="1" t="str">
        <f t="shared" si="8"/>
        <v>#N/A</v>
      </c>
      <c r="S209" s="1" t="str">
        <f t="shared" si="9"/>
        <v>#N/A</v>
      </c>
      <c r="T209" s="1" t="str">
        <f t="shared" si="10"/>
        <v>#N/A</v>
      </c>
      <c r="U209" s="1">
        <f t="shared" si="11"/>
        <v>1</v>
      </c>
      <c r="V209" s="8">
        <f t="shared" si="12"/>
        <v>152.98</v>
      </c>
      <c r="W209" s="1" t="str">
        <f t="shared" si="13"/>
        <v>#N/A</v>
      </c>
      <c r="X209" s="1" t="str">
        <f t="shared" si="14"/>
        <v>#N/A</v>
      </c>
    </row>
    <row r="210">
      <c r="A210" s="1" t="str">
        <f>TRIM(CLEAN(PROPER(peakflow_q1_2025_dirty!A212)))</f>
        <v>D-1173</v>
      </c>
      <c r="B210" s="10">
        <f>DATEVALUE(TRIM(CLEAN(peakflow_q1_2025_dirty!B212)))</f>
        <v>45731</v>
      </c>
      <c r="C210" s="1" t="str">
        <f>TRIM(CLEAN(PROPER(peakflow_q1_2025_dirty!C212)))</f>
        <v>Lumen Labs</v>
      </c>
      <c r="D210" s="1" t="str">
        <f>TRIM(CLEAN(PROPER(peakflow_q1_2025_dirty!D212)))</f>
        <v>Pro Plan</v>
      </c>
      <c r="E210" s="1" t="str">
        <f>TRIM(CLEAN(PROPER(peakflow_q1_2025_dirty!E212)))</f>
        <v>Nina Petrov</v>
      </c>
      <c r="F210" s="1" t="str">
        <f>TRIM(CLEAN(PROPER(peakflow_q1_2025_dirty!F212)))</f>
        <v>Lukas Becker</v>
      </c>
      <c r="G210" s="1" t="str">
        <f>TRIM(CLEAN(UPPER(peakflow_q1_2025_dirty!G212)))</f>
        <v>APAC</v>
      </c>
      <c r="H210" s="1">
        <f>VALUE(TRIM((CLEAN(peakflow_q1_2025_dirty!H212))))</f>
        <v>2</v>
      </c>
      <c r="I210" s="8">
        <f>VALUE(SUBSTITUTE(peakflow_q1_2025_dirty!I212,".","," ))</f>
        <v>226.97</v>
      </c>
      <c r="J210" s="8">
        <f t="shared" si="1"/>
        <v>453.94</v>
      </c>
      <c r="K210" s="1" t="str">
        <f t="shared" si="2"/>
        <v>März</v>
      </c>
      <c r="M210" s="1" t="str">
        <f t="shared" si="3"/>
        <v>#N/A</v>
      </c>
      <c r="N210" s="1" t="str">
        <f t="shared" si="4"/>
        <v>#N/A</v>
      </c>
      <c r="O210" s="1" t="str">
        <f t="shared" si="5"/>
        <v>#N/A</v>
      </c>
      <c r="P210" s="1" t="str">
        <f t="shared" si="6"/>
        <v>#N/A</v>
      </c>
      <c r="Q210" s="1" t="str">
        <f t="shared" si="7"/>
        <v>#N/A</v>
      </c>
      <c r="R210" s="1" t="str">
        <f t="shared" si="8"/>
        <v>#N/A</v>
      </c>
      <c r="S210" s="1" t="str">
        <f t="shared" si="9"/>
        <v>#N/A</v>
      </c>
      <c r="T210" s="1" t="str">
        <f t="shared" si="10"/>
        <v>#N/A</v>
      </c>
      <c r="U210" s="1">
        <f t="shared" si="11"/>
        <v>2</v>
      </c>
      <c r="V210" s="8">
        <f t="shared" si="12"/>
        <v>226.97</v>
      </c>
      <c r="W210" s="1" t="str">
        <f t="shared" si="13"/>
        <v>#N/A</v>
      </c>
      <c r="X210" s="1" t="str">
        <f t="shared" si="14"/>
        <v>#N/A</v>
      </c>
    </row>
    <row r="211">
      <c r="A211" s="1" t="str">
        <f>TRIM(CLEAN(PROPER(peakflow_q1_2025_dirty!A213)))</f>
        <v>D-1233</v>
      </c>
      <c r="B211" s="10">
        <f>DATEVALUE(TRIM(CLEAN(peakflow_q1_2025_dirty!B213)))</f>
        <v>45731</v>
      </c>
      <c r="C211" s="1" t="str">
        <f>TRIM(CLEAN(PROPER(peakflow_q1_2025_dirty!C213)))</f>
        <v>Driftwood Co</v>
      </c>
      <c r="D211" s="1" t="str">
        <f>TRIM(CLEAN(PROPER(peakflow_q1_2025_dirty!D213)))</f>
        <v>Pro Plan</v>
      </c>
      <c r="E211" s="1" t="str">
        <f>TRIM(CLEAN(PROPER(peakflow_q1_2025_dirty!E213)))</f>
        <v>Priya Patel</v>
      </c>
      <c r="F211" s="1" t="str">
        <f>TRIM(CLEAN(PROPER(peakflow_q1_2025_dirty!F213)))</f>
        <v>Maya Rodriguez</v>
      </c>
      <c r="G211" s="1" t="str">
        <f>TRIM(CLEAN(UPPER(peakflow_q1_2025_dirty!G213)))</f>
        <v>EMEA</v>
      </c>
      <c r="H211" s="1">
        <f>VALUE(TRIM((CLEAN(peakflow_q1_2025_dirty!H213))))</f>
        <v>1</v>
      </c>
      <c r="I211" s="8">
        <f>VALUE(SUBSTITUTE(peakflow_q1_2025_dirty!I213,".","," ))</f>
        <v>229.82</v>
      </c>
      <c r="J211" s="8">
        <f t="shared" si="1"/>
        <v>229.82</v>
      </c>
      <c r="K211" s="1" t="str">
        <f t="shared" si="2"/>
        <v>März</v>
      </c>
      <c r="M211" s="1" t="str">
        <f t="shared" si="3"/>
        <v>#N/A</v>
      </c>
      <c r="N211" s="1" t="str">
        <f t="shared" si="4"/>
        <v>#N/A</v>
      </c>
      <c r="O211" s="1" t="str">
        <f t="shared" si="5"/>
        <v>#N/A</v>
      </c>
      <c r="P211" s="1" t="str">
        <f t="shared" si="6"/>
        <v>#N/A</v>
      </c>
      <c r="Q211" s="1" t="str">
        <f t="shared" si="7"/>
        <v>#N/A</v>
      </c>
      <c r="R211" s="1" t="str">
        <f t="shared" si="8"/>
        <v>#N/A</v>
      </c>
      <c r="S211" s="1" t="str">
        <f t="shared" si="9"/>
        <v>#N/A</v>
      </c>
      <c r="T211" s="1" t="str">
        <f t="shared" si="10"/>
        <v>#N/A</v>
      </c>
      <c r="U211" s="1">
        <f t="shared" si="11"/>
        <v>1</v>
      </c>
      <c r="V211" s="8">
        <f t="shared" si="12"/>
        <v>229.82</v>
      </c>
      <c r="W211" s="1" t="str">
        <f t="shared" si="13"/>
        <v>#N/A</v>
      </c>
      <c r="X211" s="1" t="str">
        <f t="shared" si="14"/>
        <v>#N/A</v>
      </c>
    </row>
    <row r="212">
      <c r="A212" s="1" t="str">
        <f>TRIM(CLEAN(PROPER(peakflow_q1_2025_dirty!A214)))</f>
        <v>D-1193</v>
      </c>
      <c r="B212" s="10">
        <f>DATEVALUE(TRIM(CLEAN(peakflow_q1_2025_dirty!B214)))</f>
        <v>45732</v>
      </c>
      <c r="C212" s="1" t="str">
        <f>TRIM(CLEAN(PROPER(peakflow_q1_2025_dirty!C214)))</f>
        <v>Atlas Group</v>
      </c>
      <c r="D212" s="1" t="str">
        <f>TRIM(CLEAN(PROPER(peakflow_q1_2025_dirty!D214)))</f>
        <v>Add-On: Support</v>
      </c>
      <c r="E212" s="1" t="str">
        <f>TRIM(CLEAN(PROPER(peakflow_q1_2025_dirty!E214)))</f>
        <v>Hannah Lee</v>
      </c>
      <c r="F212" s="1" t="str">
        <f>TRIM(CLEAN(PROPER(peakflow_q1_2025_dirty!F214)))</f>
        <v>Owen Walsh</v>
      </c>
      <c r="G212" s="1" t="str">
        <f>TRIM(CLEAN(UPPER(peakflow_q1_2025_dirty!G214)))</f>
        <v>LATAM</v>
      </c>
      <c r="H212" s="1">
        <f>VALUE(TRIM((CLEAN(peakflow_q1_2025_dirty!H214))))</f>
        <v>20</v>
      </c>
      <c r="I212" s="8">
        <f>VALUE(SUBSTITUTE(peakflow_q1_2025_dirty!I214,".","," ))</f>
        <v>81.95</v>
      </c>
      <c r="J212" s="8">
        <f t="shared" si="1"/>
        <v>1639</v>
      </c>
      <c r="K212" s="1" t="str">
        <f t="shared" si="2"/>
        <v>März</v>
      </c>
      <c r="M212" s="1" t="str">
        <f t="shared" si="3"/>
        <v>#N/A</v>
      </c>
      <c r="N212" s="1" t="str">
        <f t="shared" si="4"/>
        <v>#N/A</v>
      </c>
      <c r="O212" s="1">
        <f t="shared" si="5"/>
        <v>20</v>
      </c>
      <c r="P212" s="8">
        <f t="shared" si="6"/>
        <v>81.95</v>
      </c>
      <c r="Q212" s="1" t="str">
        <f t="shared" si="7"/>
        <v>#N/A</v>
      </c>
      <c r="R212" s="1" t="str">
        <f t="shared" si="8"/>
        <v>#N/A</v>
      </c>
      <c r="S212" s="1" t="str">
        <f t="shared" si="9"/>
        <v>#N/A</v>
      </c>
      <c r="T212" s="1" t="str">
        <f t="shared" si="10"/>
        <v>#N/A</v>
      </c>
      <c r="U212" s="1" t="str">
        <f t="shared" si="11"/>
        <v>#N/A</v>
      </c>
      <c r="V212" s="1" t="str">
        <f t="shared" si="12"/>
        <v>#N/A</v>
      </c>
      <c r="W212" s="1" t="str">
        <f t="shared" si="13"/>
        <v>#N/A</v>
      </c>
      <c r="X212" s="1" t="str">
        <f t="shared" si="14"/>
        <v>#N/A</v>
      </c>
    </row>
    <row r="213">
      <c r="A213" s="1" t="str">
        <f>TRIM(CLEAN(PROPER(peakflow_q1_2025_dirty!A215)))</f>
        <v>D-1218</v>
      </c>
      <c r="B213" s="10">
        <f>DATEVALUE(TRIM(CLEAN(peakflow_q1_2025_dirty!B215)))</f>
        <v>45732</v>
      </c>
      <c r="C213" s="1" t="str">
        <f>TRIM(CLEAN(PROPER(peakflow_q1_2025_dirty!C215)))</f>
        <v>Nimbus Co</v>
      </c>
      <c r="D213" s="1" t="str">
        <f>TRIM(CLEAN(PROPER(peakflow_q1_2025_dirty!D215)))</f>
        <v>Starter Plan</v>
      </c>
      <c r="E213" s="1" t="str">
        <f>TRIM(CLEAN(PROPER(peakflow_q1_2025_dirty!E215)))</f>
        <v>David Kim</v>
      </c>
      <c r="F213" s="1" t="str">
        <f>TRIM(CLEAN(PROPER(peakflow_q1_2025_dirty!F215)))</f>
        <v>Sarah Chen</v>
      </c>
      <c r="G213" s="1" t="str">
        <f>TRIM(CLEAN(UPPER(peakflow_q1_2025_dirty!G215)))</f>
        <v>APAC</v>
      </c>
      <c r="H213" s="1">
        <f>VALUE(TRIM((CLEAN(peakflow_q1_2025_dirty!H215))))</f>
        <v>10</v>
      </c>
      <c r="I213" s="8">
        <f>VALUE(SUBSTITUTE(peakflow_q1_2025_dirty!I215,".","," ))</f>
        <v>49.92</v>
      </c>
      <c r="J213" s="8">
        <f t="shared" si="1"/>
        <v>499.2</v>
      </c>
      <c r="K213" s="1" t="str">
        <f t="shared" si="2"/>
        <v>März</v>
      </c>
      <c r="M213" s="1" t="str">
        <f t="shared" si="3"/>
        <v>#N/A</v>
      </c>
      <c r="N213" s="1" t="str">
        <f t="shared" si="4"/>
        <v>#N/A</v>
      </c>
      <c r="O213" s="1" t="str">
        <f t="shared" si="5"/>
        <v>#N/A</v>
      </c>
      <c r="P213" s="1" t="str">
        <f t="shared" si="6"/>
        <v>#N/A</v>
      </c>
      <c r="Q213" s="1" t="str">
        <f t="shared" si="7"/>
        <v>#N/A</v>
      </c>
      <c r="R213" s="1" t="str">
        <f t="shared" si="8"/>
        <v>#N/A</v>
      </c>
      <c r="S213" s="1" t="str">
        <f t="shared" si="9"/>
        <v>#N/A</v>
      </c>
      <c r="T213" s="1" t="str">
        <f t="shared" si="10"/>
        <v>#N/A</v>
      </c>
      <c r="U213" s="1" t="str">
        <f t="shared" si="11"/>
        <v>#N/A</v>
      </c>
      <c r="V213" s="1" t="str">
        <f t="shared" si="12"/>
        <v>#N/A</v>
      </c>
      <c r="W213" s="1">
        <f t="shared" si="13"/>
        <v>10</v>
      </c>
      <c r="X213" s="8">
        <f t="shared" si="14"/>
        <v>49.92</v>
      </c>
    </row>
    <row r="214">
      <c r="A214" s="1" t="str">
        <f>TRIM(CLEAN(PROPER(peakflow_q1_2025_dirty!A216)))</f>
        <v>D-1078</v>
      </c>
      <c r="B214" s="10">
        <f>DATEVALUE(TRIM(CLEAN(peakflow_q1_2025_dirty!B216)))</f>
        <v>45733</v>
      </c>
      <c r="C214" s="1" t="str">
        <f>TRIM(CLEAN(PROPER(peakflow_q1_2025_dirty!C216)))</f>
        <v>Catalyst Inc</v>
      </c>
      <c r="D214" s="1" t="str">
        <f>TRIM(CLEAN(PROPER(peakflow_q1_2025_dirty!D216)))</f>
        <v>Add-On: Analytics</v>
      </c>
      <c r="E214" s="1" t="str">
        <f>TRIM(CLEAN(PROPER(peakflow_q1_2025_dirty!E216)))</f>
        <v>Marcus Johnson</v>
      </c>
      <c r="F214" s="1" t="str">
        <f>TRIM(CLEAN(PROPER(peakflow_q1_2025_dirty!F216)))</f>
        <v>Sarah Chen</v>
      </c>
      <c r="G214" s="1" t="str">
        <f>TRIM(CLEAN(UPPER(peakflow_q1_2025_dirty!G216)))</f>
        <v>EMEA</v>
      </c>
      <c r="H214" s="1">
        <f>VALUE(TRIM((CLEAN(peakflow_q1_2025_dirty!H216))))</f>
        <v>2</v>
      </c>
      <c r="I214" s="8">
        <f>VALUE(SUBSTITUTE(peakflow_q1_2025_dirty!I216,".","," ))</f>
        <v>99.78</v>
      </c>
      <c r="J214" s="8">
        <f t="shared" si="1"/>
        <v>199.56</v>
      </c>
      <c r="K214" s="1" t="str">
        <f t="shared" si="2"/>
        <v>März</v>
      </c>
      <c r="M214" s="1">
        <f t="shared" si="3"/>
        <v>2</v>
      </c>
      <c r="N214" s="8">
        <f t="shared" si="4"/>
        <v>99.78</v>
      </c>
      <c r="O214" s="1" t="str">
        <f t="shared" si="5"/>
        <v>#N/A</v>
      </c>
      <c r="P214" s="1" t="str">
        <f t="shared" si="6"/>
        <v>#N/A</v>
      </c>
      <c r="Q214" s="1" t="str">
        <f t="shared" si="7"/>
        <v>#N/A</v>
      </c>
      <c r="R214" s="1" t="str">
        <f t="shared" si="8"/>
        <v>#N/A</v>
      </c>
      <c r="S214" s="1" t="str">
        <f t="shared" si="9"/>
        <v>#N/A</v>
      </c>
      <c r="T214" s="1" t="str">
        <f t="shared" si="10"/>
        <v>#N/A</v>
      </c>
      <c r="U214" s="1" t="str">
        <f t="shared" si="11"/>
        <v>#N/A</v>
      </c>
      <c r="V214" s="1" t="str">
        <f t="shared" si="12"/>
        <v>#N/A</v>
      </c>
      <c r="W214" s="1" t="str">
        <f t="shared" si="13"/>
        <v>#N/A</v>
      </c>
      <c r="X214" s="1" t="str">
        <f t="shared" si="14"/>
        <v>#N/A</v>
      </c>
    </row>
    <row r="215">
      <c r="A215" s="1" t="str">
        <f>TRIM(CLEAN(PROPER(peakflow_q1_2025_dirty!A217)))</f>
        <v>D-1139</v>
      </c>
      <c r="B215" s="10">
        <f>DATEVALUE(TRIM(CLEAN(peakflow_q1_2025_dirty!B217)))</f>
        <v>45733</v>
      </c>
      <c r="C215" s="1" t="str">
        <f>TRIM(CLEAN(PROPER(peakflow_q1_2025_dirty!C217)))</f>
        <v>Pacific Co</v>
      </c>
      <c r="D215" s="1" t="str">
        <f>TRIM(CLEAN(PROPER(peakflow_q1_2025_dirty!D217)))</f>
        <v>Business Plan</v>
      </c>
      <c r="E215" s="1" t="str">
        <f>TRIM(CLEAN(PROPER(peakflow_q1_2025_dirty!E217)))</f>
        <v>Carlos Mendez</v>
      </c>
      <c r="F215" s="1" t="str">
        <f>TRIM(CLEAN(PROPER(peakflow_q1_2025_dirty!F217)))</f>
        <v>Maya Rodriguez</v>
      </c>
      <c r="G215" s="1" t="str">
        <f>TRIM(CLEAN(UPPER(peakflow_q1_2025_dirty!G217)))</f>
        <v>APAC</v>
      </c>
      <c r="H215" s="1">
        <f>VALUE(TRIM((CLEAN(peakflow_q1_2025_dirty!H217))))</f>
        <v>1</v>
      </c>
      <c r="I215" s="8">
        <f>VALUE(SUBSTITUTE(peakflow_q1_2025_dirty!I217,".","," ))</f>
        <v>403.84</v>
      </c>
      <c r="J215" s="8">
        <f t="shared" si="1"/>
        <v>403.84</v>
      </c>
      <c r="K215" s="1" t="str">
        <f t="shared" si="2"/>
        <v>März</v>
      </c>
      <c r="M215" s="1" t="str">
        <f t="shared" si="3"/>
        <v>#N/A</v>
      </c>
      <c r="N215" s="1" t="str">
        <f t="shared" si="4"/>
        <v>#N/A</v>
      </c>
      <c r="O215" s="1" t="str">
        <f t="shared" si="5"/>
        <v>#N/A</v>
      </c>
      <c r="P215" s="1" t="str">
        <f t="shared" si="6"/>
        <v>#N/A</v>
      </c>
      <c r="Q215" s="1">
        <f t="shared" si="7"/>
        <v>1</v>
      </c>
      <c r="R215" s="8">
        <f t="shared" si="8"/>
        <v>403.84</v>
      </c>
      <c r="S215" s="1" t="str">
        <f t="shared" si="9"/>
        <v>#N/A</v>
      </c>
      <c r="T215" s="1" t="str">
        <f t="shared" si="10"/>
        <v>#N/A</v>
      </c>
      <c r="U215" s="1" t="str">
        <f t="shared" si="11"/>
        <v>#N/A</v>
      </c>
      <c r="V215" s="1" t="str">
        <f t="shared" si="12"/>
        <v>#N/A</v>
      </c>
      <c r="W215" s="1" t="str">
        <f t="shared" si="13"/>
        <v>#N/A</v>
      </c>
      <c r="X215" s="1" t="str">
        <f t="shared" si="14"/>
        <v>#N/A</v>
      </c>
    </row>
    <row r="216">
      <c r="A216" s="1" t="str">
        <f>TRIM(CLEAN(PROPER(peakflow_q1_2025_dirty!A218)))</f>
        <v>D-1176</v>
      </c>
      <c r="B216" s="10">
        <f>DATEVALUE(TRIM(CLEAN(peakflow_q1_2025_dirty!B218)))</f>
        <v>45733</v>
      </c>
      <c r="C216" s="1" t="str">
        <f>TRIM(CLEAN(PROPER(peakflow_q1_2025_dirty!C218)))</f>
        <v>Summit Group</v>
      </c>
      <c r="D216" s="1" t="str">
        <f>TRIM(CLEAN(PROPER(peakflow_q1_2025_dirty!D218)))</f>
        <v>Add-On: Support</v>
      </c>
      <c r="E216" s="1" t="str">
        <f>TRIM(CLEAN(PROPER(peakflow_q1_2025_dirty!E218)))</f>
        <v>Hannah Lee</v>
      </c>
      <c r="F216" s="1" t="str">
        <f>TRIM(CLEAN(PROPER(peakflow_q1_2025_dirty!F218)))</f>
        <v>Owen Walsh</v>
      </c>
      <c r="G216" s="1" t="str">
        <f>TRIM(CLEAN(UPPER(peakflow_q1_2025_dirty!G218)))</f>
        <v>LATAM</v>
      </c>
      <c r="H216" s="1">
        <f>VALUE(TRIM((CLEAN(peakflow_q1_2025_dirty!H218))))</f>
        <v>1</v>
      </c>
      <c r="I216" s="8">
        <f>VALUE(SUBSTITUTE(peakflow_q1_2025_dirty!I218,".","," ))</f>
        <v>120.48</v>
      </c>
      <c r="J216" s="8">
        <f t="shared" si="1"/>
        <v>120.48</v>
      </c>
      <c r="K216" s="1" t="str">
        <f t="shared" si="2"/>
        <v>März</v>
      </c>
      <c r="M216" s="1" t="str">
        <f t="shared" si="3"/>
        <v>#N/A</v>
      </c>
      <c r="N216" s="1" t="str">
        <f t="shared" si="4"/>
        <v>#N/A</v>
      </c>
      <c r="O216" s="1">
        <f t="shared" si="5"/>
        <v>1</v>
      </c>
      <c r="P216" s="8">
        <f t="shared" si="6"/>
        <v>120.48</v>
      </c>
      <c r="Q216" s="1" t="str">
        <f t="shared" si="7"/>
        <v>#N/A</v>
      </c>
      <c r="R216" s="1" t="str">
        <f t="shared" si="8"/>
        <v>#N/A</v>
      </c>
      <c r="S216" s="1" t="str">
        <f t="shared" si="9"/>
        <v>#N/A</v>
      </c>
      <c r="T216" s="1" t="str">
        <f t="shared" si="10"/>
        <v>#N/A</v>
      </c>
      <c r="U216" s="1" t="str">
        <f t="shared" si="11"/>
        <v>#N/A</v>
      </c>
      <c r="V216" s="1" t="str">
        <f t="shared" si="12"/>
        <v>#N/A</v>
      </c>
      <c r="W216" s="1" t="str">
        <f t="shared" si="13"/>
        <v>#N/A</v>
      </c>
      <c r="X216" s="1" t="str">
        <f t="shared" si="14"/>
        <v>#N/A</v>
      </c>
    </row>
    <row r="217">
      <c r="A217" s="1" t="str">
        <f>TRIM(CLEAN(PROPER(peakflow_q1_2025_dirty!A219)))</f>
        <v>D-1196</v>
      </c>
      <c r="B217" s="10">
        <f>DATEVALUE(TRIM(CLEAN(peakflow_q1_2025_dirty!B219)))</f>
        <v>45733</v>
      </c>
      <c r="C217" s="1" t="str">
        <f>TRIM(CLEAN(PROPER(peakflow_q1_2025_dirty!C219)))</f>
        <v>Quartz Co</v>
      </c>
      <c r="D217" s="1" t="str">
        <f>TRIM(CLEAN(PROPER(peakflow_q1_2025_dirty!D219)))</f>
        <v>Starter Plan</v>
      </c>
      <c r="E217" s="1" t="str">
        <f>TRIM(CLEAN(PROPER(peakflow_q1_2025_dirty!E219)))</f>
        <v>Priya Patel</v>
      </c>
      <c r="F217" s="1" t="str">
        <f>TRIM(CLEAN(PROPER(peakflow_q1_2025_dirty!F219)))</f>
        <v>Maya Rodriguez</v>
      </c>
      <c r="G217" s="1" t="str">
        <f>TRIM(CLEAN(PROPER(peakflow_q1_2025_dirty!G219)))</f>
        <v>North America</v>
      </c>
      <c r="H217" s="1">
        <f>VALUE(TRIM((CLEAN(peakflow_q1_2025_dirty!H219))))</f>
        <v>2</v>
      </c>
      <c r="I217" s="8">
        <f>VALUE(SUBSTITUTE(peakflow_q1_2025_dirty!I219,".","," ))</f>
        <v>62.77</v>
      </c>
      <c r="J217" s="8">
        <f t="shared" si="1"/>
        <v>125.54</v>
      </c>
      <c r="K217" s="1" t="str">
        <f t="shared" si="2"/>
        <v>März</v>
      </c>
      <c r="M217" s="1" t="str">
        <f t="shared" si="3"/>
        <v>#N/A</v>
      </c>
      <c r="N217" s="1" t="str">
        <f t="shared" si="4"/>
        <v>#N/A</v>
      </c>
      <c r="O217" s="1" t="str">
        <f t="shared" si="5"/>
        <v>#N/A</v>
      </c>
      <c r="P217" s="1" t="str">
        <f t="shared" si="6"/>
        <v>#N/A</v>
      </c>
      <c r="Q217" s="1" t="str">
        <f t="shared" si="7"/>
        <v>#N/A</v>
      </c>
      <c r="R217" s="1" t="str">
        <f t="shared" si="8"/>
        <v>#N/A</v>
      </c>
      <c r="S217" s="1" t="str">
        <f t="shared" si="9"/>
        <v>#N/A</v>
      </c>
      <c r="T217" s="1" t="str">
        <f t="shared" si="10"/>
        <v>#N/A</v>
      </c>
      <c r="U217" s="1" t="str">
        <f t="shared" si="11"/>
        <v>#N/A</v>
      </c>
      <c r="V217" s="1" t="str">
        <f t="shared" si="12"/>
        <v>#N/A</v>
      </c>
      <c r="W217" s="1">
        <f t="shared" si="13"/>
        <v>2</v>
      </c>
      <c r="X217" s="8">
        <f t="shared" si="14"/>
        <v>62.77</v>
      </c>
    </row>
    <row r="218">
      <c r="A218" s="1" t="str">
        <f>TRIM(CLEAN(PROPER(peakflow_q1_2025_dirty!A220)))</f>
        <v>D-1228</v>
      </c>
      <c r="B218" s="10">
        <f>DATEVALUE(TRIM(CLEAN(peakflow_q1_2025_dirty!B220)))</f>
        <v>45733</v>
      </c>
      <c r="C218" s="1" t="str">
        <f>TRIM(CLEAN(PROPER(peakflow_q1_2025_dirty!C220)))</f>
        <v>Quanta Labs</v>
      </c>
      <c r="D218" s="1" t="str">
        <f>TRIM(CLEAN(PROPER(peakflow_q1_2025_dirty!D220)))</f>
        <v>Starter Plan</v>
      </c>
      <c r="E218" s="1" t="str">
        <f>TRIM(CLEAN(PROPER(peakflow_q1_2025_dirty!E220)))</f>
        <v>Raj Sharma</v>
      </c>
      <c r="F218" s="1" t="str">
        <f>TRIM(CLEAN(PROPER(peakflow_q1_2025_dirty!F220)))</f>
        <v>Owen Walsh</v>
      </c>
      <c r="G218" s="1" t="str">
        <f>TRIM(CLEAN(UPPER(peakflow_q1_2025_dirty!G220)))</f>
        <v>EMEA</v>
      </c>
      <c r="H218" s="1">
        <f>VALUE(TRIM((CLEAN(peakflow_q1_2025_dirty!H220))))</f>
        <v>1</v>
      </c>
      <c r="I218" s="8">
        <f>VALUE(SUBSTITUTE(peakflow_q1_2025_dirty!I220,".","," ))</f>
        <v>60.9</v>
      </c>
      <c r="J218" s="8">
        <f t="shared" si="1"/>
        <v>60.9</v>
      </c>
      <c r="K218" s="1" t="str">
        <f t="shared" si="2"/>
        <v>März</v>
      </c>
      <c r="M218" s="1" t="str">
        <f t="shared" si="3"/>
        <v>#N/A</v>
      </c>
      <c r="N218" s="1" t="str">
        <f t="shared" si="4"/>
        <v>#N/A</v>
      </c>
      <c r="O218" s="1" t="str">
        <f t="shared" si="5"/>
        <v>#N/A</v>
      </c>
      <c r="P218" s="1" t="str">
        <f t="shared" si="6"/>
        <v>#N/A</v>
      </c>
      <c r="Q218" s="1" t="str">
        <f t="shared" si="7"/>
        <v>#N/A</v>
      </c>
      <c r="R218" s="1" t="str">
        <f t="shared" si="8"/>
        <v>#N/A</v>
      </c>
      <c r="S218" s="1" t="str">
        <f t="shared" si="9"/>
        <v>#N/A</v>
      </c>
      <c r="T218" s="1" t="str">
        <f t="shared" si="10"/>
        <v>#N/A</v>
      </c>
      <c r="U218" s="1" t="str">
        <f t="shared" si="11"/>
        <v>#N/A</v>
      </c>
      <c r="V218" s="1" t="str">
        <f t="shared" si="12"/>
        <v>#N/A</v>
      </c>
      <c r="W218" s="1">
        <f t="shared" si="13"/>
        <v>1</v>
      </c>
      <c r="X218" s="8">
        <f t="shared" si="14"/>
        <v>60.9</v>
      </c>
    </row>
    <row r="219">
      <c r="A219" s="1" t="str">
        <f>TRIM(CLEAN(PROPER(peakflow_q1_2025_dirty!A221)))</f>
        <v>D-1166</v>
      </c>
      <c r="B219" s="10">
        <f>DATEVALUE(TRIM(CLEAN(peakflow_q1_2025_dirty!B221)))</f>
        <v>45734</v>
      </c>
      <c r="C219" s="1" t="str">
        <f>TRIM(CLEAN(PROPER(peakflow_q1_2025_dirty!C221)))</f>
        <v>Phoenix Co</v>
      </c>
      <c r="D219" s="1" t="str">
        <f>TRIM(CLEAN(PROPER(peakflow_q1_2025_dirty!D221)))</f>
        <v>Starter Plan</v>
      </c>
      <c r="E219" s="1" t="str">
        <f>TRIM(CLEAN(PROPER(peakflow_q1_2025_dirty!E221)))</f>
        <v>David Kim</v>
      </c>
      <c r="F219" s="1" t="str">
        <f>TRIM(CLEAN(PROPER(peakflow_q1_2025_dirty!F221)))</f>
        <v>Sarah Chen</v>
      </c>
      <c r="G219" s="1" t="str">
        <f>TRIM(CLEAN(PROPER(peakflow_q1_2025_dirty!G221)))</f>
        <v>North America</v>
      </c>
      <c r="H219" s="1">
        <f>VALUE(TRIM((CLEAN(peakflow_q1_2025_dirty!H221))))</f>
        <v>5</v>
      </c>
      <c r="I219" s="8">
        <f>VALUE(SUBSTITUTE(peakflow_q1_2025_dirty!I221,".","," ))</f>
        <v>75.13</v>
      </c>
      <c r="J219" s="8">
        <f t="shared" si="1"/>
        <v>375.65</v>
      </c>
      <c r="K219" s="1" t="str">
        <f t="shared" si="2"/>
        <v>März</v>
      </c>
      <c r="M219" s="1" t="str">
        <f t="shared" si="3"/>
        <v>#N/A</v>
      </c>
      <c r="N219" s="1" t="str">
        <f t="shared" si="4"/>
        <v>#N/A</v>
      </c>
      <c r="O219" s="1" t="str">
        <f t="shared" si="5"/>
        <v>#N/A</v>
      </c>
      <c r="P219" s="1" t="str">
        <f t="shared" si="6"/>
        <v>#N/A</v>
      </c>
      <c r="Q219" s="1" t="str">
        <f t="shared" si="7"/>
        <v>#N/A</v>
      </c>
      <c r="R219" s="1" t="str">
        <f t="shared" si="8"/>
        <v>#N/A</v>
      </c>
      <c r="S219" s="1" t="str">
        <f t="shared" si="9"/>
        <v>#N/A</v>
      </c>
      <c r="T219" s="1" t="str">
        <f t="shared" si="10"/>
        <v>#N/A</v>
      </c>
      <c r="U219" s="1" t="str">
        <f t="shared" si="11"/>
        <v>#N/A</v>
      </c>
      <c r="V219" s="1" t="str">
        <f t="shared" si="12"/>
        <v>#N/A</v>
      </c>
      <c r="W219" s="1">
        <f t="shared" si="13"/>
        <v>5</v>
      </c>
      <c r="X219" s="8">
        <f t="shared" si="14"/>
        <v>75.13</v>
      </c>
    </row>
    <row r="220">
      <c r="A220" s="1" t="str">
        <f>TRIM(CLEAN(PROPER(peakflow_q1_2025_dirty!A222)))</f>
        <v>D-1238</v>
      </c>
      <c r="B220" s="10">
        <f>DATEVALUE(TRIM(CLEAN(peakflow_q1_2025_dirty!B222)))</f>
        <v>45734</v>
      </c>
      <c r="C220" s="1" t="str">
        <f>TRIM(CLEAN(PROPER(peakflow_q1_2025_dirty!C222)))</f>
        <v>Harbor Inc</v>
      </c>
      <c r="D220" s="1" t="str">
        <f>TRIM(CLEAN(PROPER(peakflow_q1_2025_dirty!D222)))</f>
        <v>Starter Plan</v>
      </c>
      <c r="E220" s="1" t="str">
        <f>TRIM(CLEAN(PROPER(peakflow_q1_2025_dirty!E222)))</f>
        <v>Raj Sharma</v>
      </c>
      <c r="F220" s="1" t="str">
        <f>TRIM(CLEAN(PROPER(peakflow_q1_2025_dirty!F222)))</f>
        <v>Owen Walsh</v>
      </c>
      <c r="G220" s="1" t="str">
        <f>TRIM(CLEAN(UPPER(peakflow_q1_2025_dirty!G222)))</f>
        <v>APAC</v>
      </c>
      <c r="H220" s="1">
        <f>VALUE(TRIM((CLEAN(peakflow_q1_2025_dirty!H222))))</f>
        <v>2</v>
      </c>
      <c r="I220" s="8">
        <f>VALUE(SUBSTITUTE(peakflow_q1_2025_dirty!I222,".","," ))</f>
        <v>44.69</v>
      </c>
      <c r="J220" s="8">
        <f t="shared" si="1"/>
        <v>89.38</v>
      </c>
      <c r="K220" s="1" t="str">
        <f t="shared" si="2"/>
        <v>März</v>
      </c>
      <c r="M220" s="1" t="str">
        <f t="shared" si="3"/>
        <v>#N/A</v>
      </c>
      <c r="N220" s="1" t="str">
        <f t="shared" si="4"/>
        <v>#N/A</v>
      </c>
      <c r="O220" s="1" t="str">
        <f t="shared" si="5"/>
        <v>#N/A</v>
      </c>
      <c r="P220" s="1" t="str">
        <f t="shared" si="6"/>
        <v>#N/A</v>
      </c>
      <c r="Q220" s="1" t="str">
        <f t="shared" si="7"/>
        <v>#N/A</v>
      </c>
      <c r="R220" s="1" t="str">
        <f t="shared" si="8"/>
        <v>#N/A</v>
      </c>
      <c r="S220" s="1" t="str">
        <f t="shared" si="9"/>
        <v>#N/A</v>
      </c>
      <c r="T220" s="1" t="str">
        <f t="shared" si="10"/>
        <v>#N/A</v>
      </c>
      <c r="U220" s="1" t="str">
        <f t="shared" si="11"/>
        <v>#N/A</v>
      </c>
      <c r="V220" s="1" t="str">
        <f t="shared" si="12"/>
        <v>#N/A</v>
      </c>
      <c r="W220" s="1">
        <f t="shared" si="13"/>
        <v>2</v>
      </c>
      <c r="X220" s="8">
        <f t="shared" si="14"/>
        <v>44.69</v>
      </c>
    </row>
    <row r="221">
      <c r="A221" s="1" t="str">
        <f>TRIM(CLEAN(PROPER(peakflow_q1_2025_dirty!A223)))</f>
        <v>D-1046</v>
      </c>
      <c r="B221" s="10">
        <f>DATEVALUE(TRIM(CLEAN(peakflow_q1_2025_dirty!B223)))</f>
        <v>45735</v>
      </c>
      <c r="C221" s="1" t="str">
        <f>TRIM(CLEAN(PROPER(peakflow_q1_2025_dirty!C223)))</f>
        <v>Beacon Labs</v>
      </c>
      <c r="D221" s="1" t="str">
        <f>TRIM(CLEAN(PROPER(peakflow_q1_2025_dirty!D223)))</f>
        <v>Enterprise Plan</v>
      </c>
      <c r="E221" s="1" t="str">
        <f>TRIM(CLEAN(PROPER(peakflow_q1_2025_dirty!E223)))</f>
        <v>James Park</v>
      </c>
      <c r="F221" s="1" t="str">
        <f>TRIM(CLEAN(PROPER(peakflow_q1_2025_dirty!F223)))</f>
        <v>Owen Walsh</v>
      </c>
      <c r="G221" s="1" t="str">
        <f>TRIM(CLEAN(PROPER(peakflow_q1_2025_dirty!G223)))</f>
        <v>North America</v>
      </c>
      <c r="H221" s="1">
        <f>VALUE(TRIM((CLEAN(peakflow_q1_2025_dirty!H223))))</f>
        <v>2</v>
      </c>
      <c r="I221" s="8">
        <f>VALUE(SUBSTITUTE(peakflow_q1_2025_dirty!I223,".","," ))</f>
        <v>1266.5</v>
      </c>
      <c r="J221" s="8">
        <f t="shared" si="1"/>
        <v>2533</v>
      </c>
      <c r="K221" s="1" t="str">
        <f t="shared" si="2"/>
        <v>März</v>
      </c>
      <c r="M221" s="1" t="str">
        <f t="shared" si="3"/>
        <v>#N/A</v>
      </c>
      <c r="N221" s="1" t="str">
        <f t="shared" si="4"/>
        <v>#N/A</v>
      </c>
      <c r="O221" s="1" t="str">
        <f t="shared" si="5"/>
        <v>#N/A</v>
      </c>
      <c r="P221" s="1" t="str">
        <f t="shared" si="6"/>
        <v>#N/A</v>
      </c>
      <c r="Q221" s="1" t="str">
        <f t="shared" si="7"/>
        <v>#N/A</v>
      </c>
      <c r="R221" s="1" t="str">
        <f t="shared" si="8"/>
        <v>#N/A</v>
      </c>
      <c r="S221" s="1">
        <f t="shared" si="9"/>
        <v>2</v>
      </c>
      <c r="T221" s="8">
        <f t="shared" si="10"/>
        <v>1266.5</v>
      </c>
      <c r="U221" s="1" t="str">
        <f t="shared" si="11"/>
        <v>#N/A</v>
      </c>
      <c r="V221" s="1" t="str">
        <f t="shared" si="12"/>
        <v>#N/A</v>
      </c>
      <c r="W221" s="1" t="str">
        <f t="shared" si="13"/>
        <v>#N/A</v>
      </c>
      <c r="X221" s="1" t="str">
        <f t="shared" si="14"/>
        <v>#N/A</v>
      </c>
    </row>
    <row r="222">
      <c r="A222" s="1" t="str">
        <f>TRIM(CLEAN(PROPER(peakflow_q1_2025_dirty!A224)))</f>
        <v>D-1163</v>
      </c>
      <c r="B222" s="10">
        <f>DATEVALUE(TRIM(CLEAN(peakflow_q1_2025_dirty!B224)))</f>
        <v>45735</v>
      </c>
      <c r="C222" s="1" t="str">
        <f>TRIM(CLEAN(PROPER(peakflow_q1_2025_dirty!C224)))</f>
        <v>Juniper Group</v>
      </c>
      <c r="D222" s="1" t="str">
        <f>TRIM(CLEAN(PROPER(peakflow_q1_2025_dirty!D224)))</f>
        <v>Add-On: Support</v>
      </c>
      <c r="E222" s="1" t="str">
        <f>TRIM(CLEAN(PROPER(peakflow_q1_2025_dirty!E224)))</f>
        <v>Sophie Laurent</v>
      </c>
      <c r="F222" s="1" t="str">
        <f>TRIM(CLEAN(PROPER(peakflow_q1_2025_dirty!F224)))</f>
        <v>Maya Rodriguez</v>
      </c>
      <c r="G222" s="1" t="str">
        <f>TRIM(CLEAN(UPPER(peakflow_q1_2025_dirty!G224)))</f>
        <v>APAC</v>
      </c>
      <c r="H222" s="1">
        <f>VALUE(TRIM((CLEAN(peakflow_q1_2025_dirty!H224))))</f>
        <v>10</v>
      </c>
      <c r="I222" s="8">
        <f>VALUE(SUBSTITUTE(peakflow_q1_2025_dirty!I224,".","," ))</f>
        <v>135.5</v>
      </c>
      <c r="J222" s="8">
        <f t="shared" si="1"/>
        <v>1355</v>
      </c>
      <c r="K222" s="1" t="str">
        <f t="shared" si="2"/>
        <v>März</v>
      </c>
      <c r="M222" s="1" t="str">
        <f t="shared" si="3"/>
        <v>#N/A</v>
      </c>
      <c r="N222" s="1" t="str">
        <f t="shared" si="4"/>
        <v>#N/A</v>
      </c>
      <c r="O222" s="1">
        <f t="shared" si="5"/>
        <v>10</v>
      </c>
      <c r="P222" s="8">
        <f t="shared" si="6"/>
        <v>135.5</v>
      </c>
      <c r="Q222" s="1" t="str">
        <f t="shared" si="7"/>
        <v>#N/A</v>
      </c>
      <c r="R222" s="1" t="str">
        <f t="shared" si="8"/>
        <v>#N/A</v>
      </c>
      <c r="S222" s="1" t="str">
        <f t="shared" si="9"/>
        <v>#N/A</v>
      </c>
      <c r="T222" s="1" t="str">
        <f t="shared" si="10"/>
        <v>#N/A</v>
      </c>
      <c r="U222" s="1" t="str">
        <f t="shared" si="11"/>
        <v>#N/A</v>
      </c>
      <c r="V222" s="1" t="str">
        <f t="shared" si="12"/>
        <v>#N/A</v>
      </c>
      <c r="W222" s="1" t="str">
        <f t="shared" si="13"/>
        <v>#N/A</v>
      </c>
      <c r="X222" s="1" t="str">
        <f t="shared" si="14"/>
        <v>#N/A</v>
      </c>
    </row>
    <row r="223">
      <c r="A223" s="1" t="str">
        <f>TRIM(CLEAN(PROPER(peakflow_q1_2025_dirty!A225)))</f>
        <v>D-1222</v>
      </c>
      <c r="B223" s="10">
        <f>DATEVALUE(TRIM(CLEAN(peakflow_q1_2025_dirty!B225)))</f>
        <v>45735</v>
      </c>
      <c r="C223" s="1" t="str">
        <f>TRIM(CLEAN(PROPER(peakflow_q1_2025_dirty!C225)))</f>
        <v>Solstice Group</v>
      </c>
      <c r="D223" s="1" t="str">
        <f>TRIM(CLEAN(PROPER(peakflow_q1_2025_dirty!D225)))</f>
        <v>Pro Plan</v>
      </c>
      <c r="E223" s="1" t="str">
        <f>TRIM(CLEAN(PROPER(peakflow_q1_2025_dirty!E225)))</f>
        <v>Carlos Mendez</v>
      </c>
      <c r="F223" s="1" t="str">
        <f>TRIM(CLEAN(PROPER(peakflow_q1_2025_dirty!F225)))</f>
        <v>Maya Rodriguez</v>
      </c>
      <c r="G223" s="1" t="str">
        <f>TRIM(CLEAN(UPPER(peakflow_q1_2025_dirty!G225)))</f>
        <v>APAC</v>
      </c>
      <c r="H223" s="1">
        <f>VALUE(TRIM((CLEAN(peakflow_q1_2025_dirty!H225))))</f>
        <v>1</v>
      </c>
      <c r="I223" s="8">
        <f>VALUE(SUBSTITUTE(peakflow_q1_2025_dirty!I225,".","," ))</f>
        <v>277.92</v>
      </c>
      <c r="J223" s="8">
        <f t="shared" si="1"/>
        <v>277.92</v>
      </c>
      <c r="K223" s="1" t="str">
        <f t="shared" si="2"/>
        <v>März</v>
      </c>
      <c r="M223" s="1" t="str">
        <f t="shared" si="3"/>
        <v>#N/A</v>
      </c>
      <c r="N223" s="1" t="str">
        <f t="shared" si="4"/>
        <v>#N/A</v>
      </c>
      <c r="O223" s="1" t="str">
        <f t="shared" si="5"/>
        <v>#N/A</v>
      </c>
      <c r="P223" s="1" t="str">
        <f t="shared" si="6"/>
        <v>#N/A</v>
      </c>
      <c r="Q223" s="1" t="str">
        <f t="shared" si="7"/>
        <v>#N/A</v>
      </c>
      <c r="R223" s="1" t="str">
        <f t="shared" si="8"/>
        <v>#N/A</v>
      </c>
      <c r="S223" s="1" t="str">
        <f t="shared" si="9"/>
        <v>#N/A</v>
      </c>
      <c r="T223" s="1" t="str">
        <f t="shared" si="10"/>
        <v>#N/A</v>
      </c>
      <c r="U223" s="1">
        <f t="shared" si="11"/>
        <v>1</v>
      </c>
      <c r="V223" s="8">
        <f t="shared" si="12"/>
        <v>277.92</v>
      </c>
      <c r="W223" s="1" t="str">
        <f t="shared" si="13"/>
        <v>#N/A</v>
      </c>
      <c r="X223" s="1" t="str">
        <f t="shared" si="14"/>
        <v>#N/A</v>
      </c>
    </row>
    <row r="224">
      <c r="A224" s="1" t="str">
        <f>TRIM(CLEAN(PROPER(peakflow_q1_2025_dirty!A226)))</f>
        <v>D-1043</v>
      </c>
      <c r="B224" s="10">
        <f>DATEVALUE(TRIM(CLEAN(peakflow_q1_2025_dirty!B226)))</f>
        <v>45736</v>
      </c>
      <c r="C224" s="1" t="str">
        <f>TRIM(CLEAN(PROPER(peakflow_q1_2025_dirty!C226)))</f>
        <v>Nimbus Co</v>
      </c>
      <c r="D224" s="1" t="str">
        <f>TRIM(CLEAN(PROPER(peakflow_q1_2025_dirty!D226)))</f>
        <v>Add-On: Analytics</v>
      </c>
      <c r="E224" s="1" t="str">
        <f>TRIM(CLEAN(PROPER(peakflow_q1_2025_dirty!E226)))</f>
        <v>Aisha Hassan</v>
      </c>
      <c r="F224" s="1" t="str">
        <f>TRIM(CLEAN(PROPER(peakflow_q1_2025_dirty!F226)))</f>
        <v>Sarah Chen</v>
      </c>
      <c r="G224" s="1" t="str">
        <f>TRIM(CLEAN(UPPER(peakflow_q1_2025_dirty!G226)))</f>
        <v>APAC</v>
      </c>
      <c r="H224" s="1">
        <f>VALUE(TRIM((CLEAN(peakflow_q1_2025_dirty!H226))))</f>
        <v>5</v>
      </c>
      <c r="I224" s="8">
        <f>VALUE(SUBSTITUTE(peakflow_q1_2025_dirty!I226,".","," ))</f>
        <v>105.63</v>
      </c>
      <c r="J224" s="8">
        <f t="shared" si="1"/>
        <v>528.15</v>
      </c>
      <c r="K224" s="1" t="str">
        <f t="shared" si="2"/>
        <v>März</v>
      </c>
      <c r="M224" s="1">
        <f t="shared" si="3"/>
        <v>5</v>
      </c>
      <c r="N224" s="8">
        <f t="shared" si="4"/>
        <v>105.63</v>
      </c>
      <c r="O224" s="1" t="str">
        <f t="shared" si="5"/>
        <v>#N/A</v>
      </c>
      <c r="P224" s="1" t="str">
        <f t="shared" si="6"/>
        <v>#N/A</v>
      </c>
      <c r="Q224" s="1" t="str">
        <f t="shared" si="7"/>
        <v>#N/A</v>
      </c>
      <c r="R224" s="1" t="str">
        <f t="shared" si="8"/>
        <v>#N/A</v>
      </c>
      <c r="S224" s="1" t="str">
        <f t="shared" si="9"/>
        <v>#N/A</v>
      </c>
      <c r="T224" s="1" t="str">
        <f t="shared" si="10"/>
        <v>#N/A</v>
      </c>
      <c r="U224" s="1" t="str">
        <f t="shared" si="11"/>
        <v>#N/A</v>
      </c>
      <c r="V224" s="1" t="str">
        <f t="shared" si="12"/>
        <v>#N/A</v>
      </c>
      <c r="W224" s="1" t="str">
        <f t="shared" si="13"/>
        <v>#N/A</v>
      </c>
      <c r="X224" s="1" t="str">
        <f t="shared" si="14"/>
        <v>#N/A</v>
      </c>
    </row>
    <row r="225">
      <c r="A225" s="1" t="str">
        <f>TRIM(CLEAN(PROPER(peakflow_q1_2025_dirty!A227)))</f>
        <v>D-1057</v>
      </c>
      <c r="B225" s="10">
        <f>DATEVALUE(TRIM(CLEAN(peakflow_q1_2025_dirty!B227)))</f>
        <v>45736</v>
      </c>
      <c r="C225" s="1" t="str">
        <f>TRIM(CLEAN(PROPER(peakflow_q1_2025_dirty!C227)))</f>
        <v>Arcadia Inc</v>
      </c>
      <c r="D225" s="1" t="str">
        <f>TRIM(CLEAN(PROPER(peakflow_q1_2025_dirty!D227)))</f>
        <v>Business Plan</v>
      </c>
      <c r="E225" s="1" t="str">
        <f>TRIM(CLEAN(PROPER(peakflow_q1_2025_dirty!E227)))</f>
        <v>Marcus Johnson</v>
      </c>
      <c r="F225" s="1" t="str">
        <f>TRIM(CLEAN(PROPER(peakflow_q1_2025_dirty!F227)))</f>
        <v>Sarah Chen</v>
      </c>
      <c r="G225" s="1" t="str">
        <f>TRIM(CLEAN(UPPER(peakflow_q1_2025_dirty!G227)))</f>
        <v>EMEA</v>
      </c>
      <c r="H225" s="1">
        <f>VALUE(TRIM((CLEAN(peakflow_q1_2025_dirty!H227))))</f>
        <v>2</v>
      </c>
      <c r="I225" s="8">
        <f>VALUE(SUBSTITUTE(peakflow_q1_2025_dirty!I227,".","," ))</f>
        <v>421.73</v>
      </c>
      <c r="J225" s="8">
        <f t="shared" si="1"/>
        <v>843.46</v>
      </c>
      <c r="K225" s="1" t="str">
        <f t="shared" si="2"/>
        <v>März</v>
      </c>
      <c r="M225" s="1" t="str">
        <f t="shared" si="3"/>
        <v>#N/A</v>
      </c>
      <c r="N225" s="1" t="str">
        <f t="shared" si="4"/>
        <v>#N/A</v>
      </c>
      <c r="O225" s="1" t="str">
        <f t="shared" si="5"/>
        <v>#N/A</v>
      </c>
      <c r="P225" s="1" t="str">
        <f t="shared" si="6"/>
        <v>#N/A</v>
      </c>
      <c r="Q225" s="1">
        <f t="shared" si="7"/>
        <v>2</v>
      </c>
      <c r="R225" s="8">
        <f t="shared" si="8"/>
        <v>421.73</v>
      </c>
      <c r="S225" s="1" t="str">
        <f t="shared" si="9"/>
        <v>#N/A</v>
      </c>
      <c r="T225" s="1" t="str">
        <f t="shared" si="10"/>
        <v>#N/A</v>
      </c>
      <c r="U225" s="1" t="str">
        <f t="shared" si="11"/>
        <v>#N/A</v>
      </c>
      <c r="V225" s="1" t="str">
        <f t="shared" si="12"/>
        <v>#N/A</v>
      </c>
      <c r="W225" s="1" t="str">
        <f t="shared" si="13"/>
        <v>#N/A</v>
      </c>
      <c r="X225" s="1" t="str">
        <f t="shared" si="14"/>
        <v>#N/A</v>
      </c>
    </row>
    <row r="226">
      <c r="A226" s="1" t="str">
        <f>TRIM(CLEAN(PROPER(peakflow_q1_2025_dirty!A228)))</f>
        <v>D-1090</v>
      </c>
      <c r="B226" s="10">
        <f>DATEVALUE(TRIM(CLEAN(peakflow_q1_2025_dirty!B228)))</f>
        <v>45736</v>
      </c>
      <c r="C226" s="1" t="str">
        <f>TRIM(CLEAN(PROPER(peakflow_q1_2025_dirty!C228)))</f>
        <v>Obsidian Co</v>
      </c>
      <c r="D226" s="1" t="str">
        <f>TRIM(CLEAN(PROPER(peakflow_q1_2025_dirty!D228)))</f>
        <v>Starter Plan</v>
      </c>
      <c r="E226" s="1" t="str">
        <f>TRIM(CLEAN(PROPER(peakflow_q1_2025_dirty!E228)))</f>
        <v>Elena Rossi</v>
      </c>
      <c r="F226" s="1" t="str">
        <f>TRIM(CLEAN(PROPER(peakflow_q1_2025_dirty!F228)))</f>
        <v>Lukas Becker</v>
      </c>
      <c r="G226" s="1" t="str">
        <f>TRIM(CLEAN(UPPER(peakflow_q1_2025_dirty!G228)))</f>
        <v>APAC</v>
      </c>
      <c r="H226" s="1">
        <f>VALUE(TRIM((CLEAN(peakflow_q1_2025_dirty!H228))))</f>
        <v>5</v>
      </c>
      <c r="I226" s="8">
        <f>VALUE(SUBSTITUTE(peakflow_q1_2025_dirty!I228,".","," ))</f>
        <v>47.6</v>
      </c>
      <c r="J226" s="8">
        <f t="shared" si="1"/>
        <v>238</v>
      </c>
      <c r="K226" s="1" t="str">
        <f t="shared" si="2"/>
        <v>März</v>
      </c>
      <c r="M226" s="1" t="str">
        <f t="shared" si="3"/>
        <v>#N/A</v>
      </c>
      <c r="N226" s="1" t="str">
        <f t="shared" si="4"/>
        <v>#N/A</v>
      </c>
      <c r="O226" s="1" t="str">
        <f t="shared" si="5"/>
        <v>#N/A</v>
      </c>
      <c r="P226" s="1" t="str">
        <f t="shared" si="6"/>
        <v>#N/A</v>
      </c>
      <c r="Q226" s="1" t="str">
        <f t="shared" si="7"/>
        <v>#N/A</v>
      </c>
      <c r="R226" s="1" t="str">
        <f t="shared" si="8"/>
        <v>#N/A</v>
      </c>
      <c r="S226" s="1" t="str">
        <f t="shared" si="9"/>
        <v>#N/A</v>
      </c>
      <c r="T226" s="1" t="str">
        <f t="shared" si="10"/>
        <v>#N/A</v>
      </c>
      <c r="U226" s="1" t="str">
        <f t="shared" si="11"/>
        <v>#N/A</v>
      </c>
      <c r="V226" s="1" t="str">
        <f t="shared" si="12"/>
        <v>#N/A</v>
      </c>
      <c r="W226" s="1">
        <f t="shared" si="13"/>
        <v>5</v>
      </c>
      <c r="X226" s="8">
        <f t="shared" si="14"/>
        <v>47.6</v>
      </c>
    </row>
    <row r="227">
      <c r="A227" s="1" t="str">
        <f>TRIM(CLEAN(PROPER(peakflow_q1_2025_dirty!A229)))</f>
        <v>D-1204</v>
      </c>
      <c r="B227" s="10">
        <f>DATEVALUE(TRIM(CLEAN(peakflow_q1_2025_dirty!B229)))</f>
        <v>45736</v>
      </c>
      <c r="C227" s="1" t="str">
        <f>TRIM(CLEAN(PROPER(peakflow_q1_2025_dirty!C229)))</f>
        <v>Vertex Inc</v>
      </c>
      <c r="D227" s="1" t="str">
        <f>TRIM(CLEAN(PROPER(peakflow_q1_2025_dirty!D229)))</f>
        <v>Add-On: Analytics</v>
      </c>
      <c r="E227" s="1" t="str">
        <f>TRIM(CLEAN(PROPER(peakflow_q1_2025_dirty!E229)))</f>
        <v>Tom Wilson</v>
      </c>
      <c r="F227" s="1" t="str">
        <f>TRIM(CLEAN(PROPER(peakflow_q1_2025_dirty!F229)))</f>
        <v>Lukas Becker</v>
      </c>
      <c r="G227" s="1" t="str">
        <f>TRIM(CLEAN(UPPER(peakflow_q1_2025_dirty!G229)))</f>
        <v>APAC</v>
      </c>
      <c r="H227" s="1">
        <f>VALUE(TRIM((CLEAN(peakflow_q1_2025_dirty!H229))))</f>
        <v>1</v>
      </c>
      <c r="I227" s="8">
        <f>VALUE(SUBSTITUTE(peakflow_q1_2025_dirty!I229,".","," ))</f>
        <v>102.63</v>
      </c>
      <c r="J227" s="8">
        <f t="shared" si="1"/>
        <v>102.63</v>
      </c>
      <c r="K227" s="1" t="str">
        <f t="shared" si="2"/>
        <v>März</v>
      </c>
      <c r="M227" s="1">
        <f t="shared" si="3"/>
        <v>1</v>
      </c>
      <c r="N227" s="8">
        <f t="shared" si="4"/>
        <v>102.63</v>
      </c>
      <c r="O227" s="1" t="str">
        <f t="shared" si="5"/>
        <v>#N/A</v>
      </c>
      <c r="P227" s="1" t="str">
        <f t="shared" si="6"/>
        <v>#N/A</v>
      </c>
      <c r="Q227" s="1" t="str">
        <f t="shared" si="7"/>
        <v>#N/A</v>
      </c>
      <c r="R227" s="1" t="str">
        <f t="shared" si="8"/>
        <v>#N/A</v>
      </c>
      <c r="S227" s="1" t="str">
        <f t="shared" si="9"/>
        <v>#N/A</v>
      </c>
      <c r="T227" s="1" t="str">
        <f t="shared" si="10"/>
        <v>#N/A</v>
      </c>
      <c r="U227" s="1" t="str">
        <f t="shared" si="11"/>
        <v>#N/A</v>
      </c>
      <c r="V227" s="1" t="str">
        <f t="shared" si="12"/>
        <v>#N/A</v>
      </c>
      <c r="W227" s="1" t="str">
        <f t="shared" si="13"/>
        <v>#N/A</v>
      </c>
      <c r="X227" s="1" t="str">
        <f t="shared" si="14"/>
        <v>#N/A</v>
      </c>
    </row>
    <row r="228">
      <c r="A228" s="1" t="str">
        <f>TRIM(CLEAN(PROPER(peakflow_q1_2025_dirty!A230)))</f>
        <v>D-1072</v>
      </c>
      <c r="B228" s="10">
        <f>DATEVALUE(TRIM(CLEAN(peakflow_q1_2025_dirty!B230)))</f>
        <v>45737</v>
      </c>
      <c r="C228" s="1" t="str">
        <f>TRIM(CLEAN(PROPER(peakflow_q1_2025_dirty!C230)))</f>
        <v>Northwind Co</v>
      </c>
      <c r="D228" s="1" t="str">
        <f>TRIM(CLEAN(PROPER(peakflow_q1_2025_dirty!D230)))</f>
        <v>Pro Plan</v>
      </c>
      <c r="E228" s="1" t="str">
        <f>TRIM(CLEAN(PROPER(peakflow_q1_2025_dirty!E230)))</f>
        <v>Aisha Hassan</v>
      </c>
      <c r="F228" s="1" t="str">
        <f>TRIM(CLEAN(PROPER(peakflow_q1_2025_dirty!F230)))</f>
        <v>Sarah Chen</v>
      </c>
      <c r="G228" s="1" t="str">
        <f>TRIM(CLEAN(UPPER(peakflow_q1_2025_dirty!G230)))</f>
        <v>APAC</v>
      </c>
      <c r="H228" s="1">
        <f>VALUE(TRIM((CLEAN(peakflow_q1_2025_dirty!H230))))</f>
        <v>1</v>
      </c>
      <c r="I228" s="8">
        <f>VALUE(SUBSTITUTE(peakflow_q1_2025_dirty!I230,".","," ))</f>
        <v>196.02</v>
      </c>
      <c r="J228" s="8">
        <f t="shared" si="1"/>
        <v>196.02</v>
      </c>
      <c r="K228" s="1" t="str">
        <f t="shared" si="2"/>
        <v>März</v>
      </c>
      <c r="M228" s="1" t="str">
        <f t="shared" si="3"/>
        <v>#N/A</v>
      </c>
      <c r="N228" s="1" t="str">
        <f t="shared" si="4"/>
        <v>#N/A</v>
      </c>
      <c r="O228" s="1" t="str">
        <f t="shared" si="5"/>
        <v>#N/A</v>
      </c>
      <c r="P228" s="1" t="str">
        <f t="shared" si="6"/>
        <v>#N/A</v>
      </c>
      <c r="Q228" s="1" t="str">
        <f t="shared" si="7"/>
        <v>#N/A</v>
      </c>
      <c r="R228" s="1" t="str">
        <f t="shared" si="8"/>
        <v>#N/A</v>
      </c>
      <c r="S228" s="1" t="str">
        <f t="shared" si="9"/>
        <v>#N/A</v>
      </c>
      <c r="T228" s="1" t="str">
        <f t="shared" si="10"/>
        <v>#N/A</v>
      </c>
      <c r="U228" s="1">
        <f t="shared" si="11"/>
        <v>1</v>
      </c>
      <c r="V228" s="8">
        <f t="shared" si="12"/>
        <v>196.02</v>
      </c>
      <c r="W228" s="1" t="str">
        <f t="shared" si="13"/>
        <v>#N/A</v>
      </c>
      <c r="X228" s="1" t="str">
        <f t="shared" si="14"/>
        <v>#N/A</v>
      </c>
    </row>
    <row r="229">
      <c r="A229" s="1" t="str">
        <f>TRIM(CLEAN(PROPER(peakflow_q1_2025_dirty!A231)))</f>
        <v>D-1192</v>
      </c>
      <c r="B229" s="10">
        <f>DATEVALUE(TRIM(CLEAN(peakflow_q1_2025_dirty!B231)))</f>
        <v>45737</v>
      </c>
      <c r="C229" s="1" t="str">
        <f>TRIM(CLEAN(PROPER(peakflow_q1_2025_dirty!C231)))</f>
        <v>Beacon Labs</v>
      </c>
      <c r="D229" s="1" t="str">
        <f>TRIM(CLEAN(PROPER(peakflow_q1_2025_dirty!D231)))</f>
        <v>Pro Plan</v>
      </c>
      <c r="E229" s="1" t="str">
        <f>TRIM(CLEAN(PROPER(peakflow_q1_2025_dirty!E231)))</f>
        <v>Aisha Hassan</v>
      </c>
      <c r="F229" s="1" t="str">
        <f>TRIM(CLEAN(PROPER(peakflow_q1_2025_dirty!F231)))</f>
        <v>Sarah Chen</v>
      </c>
      <c r="G229" s="1" t="str">
        <f>TRIM(CLEAN(UPPER(peakflow_q1_2025_dirty!G231)))</f>
        <v>APAC</v>
      </c>
      <c r="H229" s="1">
        <f>VALUE(TRIM((CLEAN(peakflow_q1_2025_dirty!H231))))</f>
        <v>2</v>
      </c>
      <c r="I229" s="8">
        <f>VALUE(SUBSTITUTE(peakflow_q1_2025_dirty!I231,".","," ))</f>
        <v>218.98</v>
      </c>
      <c r="J229" s="8">
        <f t="shared" si="1"/>
        <v>437.96</v>
      </c>
      <c r="K229" s="1" t="str">
        <f t="shared" si="2"/>
        <v>März</v>
      </c>
      <c r="M229" s="1" t="str">
        <f t="shared" si="3"/>
        <v>#N/A</v>
      </c>
      <c r="N229" s="1" t="str">
        <f t="shared" si="4"/>
        <v>#N/A</v>
      </c>
      <c r="O229" s="1" t="str">
        <f t="shared" si="5"/>
        <v>#N/A</v>
      </c>
      <c r="P229" s="1" t="str">
        <f t="shared" si="6"/>
        <v>#N/A</v>
      </c>
      <c r="Q229" s="1" t="str">
        <f t="shared" si="7"/>
        <v>#N/A</v>
      </c>
      <c r="R229" s="1" t="str">
        <f t="shared" si="8"/>
        <v>#N/A</v>
      </c>
      <c r="S229" s="1" t="str">
        <f t="shared" si="9"/>
        <v>#N/A</v>
      </c>
      <c r="T229" s="1" t="str">
        <f t="shared" si="10"/>
        <v>#N/A</v>
      </c>
      <c r="U229" s="1">
        <f t="shared" si="11"/>
        <v>2</v>
      </c>
      <c r="V229" s="8">
        <f t="shared" si="12"/>
        <v>218.98</v>
      </c>
      <c r="W229" s="1" t="str">
        <f t="shared" si="13"/>
        <v>#N/A</v>
      </c>
      <c r="X229" s="1" t="str">
        <f t="shared" si="14"/>
        <v>#N/A</v>
      </c>
    </row>
    <row r="230">
      <c r="A230" s="1" t="str">
        <f>TRIM(CLEAN(PROPER(peakflow_q1_2025_dirty!A232)))</f>
        <v>D-1030</v>
      </c>
      <c r="B230" s="10">
        <f>DATEVALUE(TRIM(CLEAN(peakflow_q1_2025_dirty!B232)))</f>
        <v>45738</v>
      </c>
      <c r="C230" s="1" t="str">
        <f>TRIM(CLEAN(PROPER(peakflow_q1_2025_dirty!C232)))</f>
        <v>Foundry Group</v>
      </c>
      <c r="D230" s="1" t="str">
        <f>TRIM(CLEAN(PROPER(peakflow_q1_2025_dirty!D232)))</f>
        <v>Add-On: Support</v>
      </c>
      <c r="E230" s="1" t="str">
        <f>TRIM(CLEAN(PROPER(peakflow_q1_2025_dirty!E232)))</f>
        <v>Nina Petrov</v>
      </c>
      <c r="F230" s="1" t="str">
        <f>TRIM(CLEAN(PROPER(peakflow_q1_2025_dirty!F232)))</f>
        <v>Lukas Becker</v>
      </c>
      <c r="G230" s="1" t="str">
        <f>TRIM(CLEAN(PROPER(peakflow_q1_2025_dirty!G232)))</f>
        <v>North America</v>
      </c>
      <c r="H230" s="1">
        <f>VALUE(TRIM((CLEAN(peakflow_q1_2025_dirty!H232))))</f>
        <v>1</v>
      </c>
      <c r="I230" s="8">
        <f>VALUE(SUBSTITUTE(peakflow_q1_2025_dirty!I232,".","," ))</f>
        <v>147.96</v>
      </c>
      <c r="J230" s="8">
        <f t="shared" si="1"/>
        <v>147.96</v>
      </c>
      <c r="K230" s="1" t="str">
        <f t="shared" si="2"/>
        <v>März</v>
      </c>
      <c r="M230" s="1" t="str">
        <f t="shared" si="3"/>
        <v>#N/A</v>
      </c>
      <c r="N230" s="1" t="str">
        <f t="shared" si="4"/>
        <v>#N/A</v>
      </c>
      <c r="O230" s="1">
        <f t="shared" si="5"/>
        <v>1</v>
      </c>
      <c r="P230" s="8">
        <f t="shared" si="6"/>
        <v>147.96</v>
      </c>
      <c r="Q230" s="1" t="str">
        <f t="shared" si="7"/>
        <v>#N/A</v>
      </c>
      <c r="R230" s="1" t="str">
        <f t="shared" si="8"/>
        <v>#N/A</v>
      </c>
      <c r="S230" s="1" t="str">
        <f t="shared" si="9"/>
        <v>#N/A</v>
      </c>
      <c r="T230" s="1" t="str">
        <f t="shared" si="10"/>
        <v>#N/A</v>
      </c>
      <c r="U230" s="1" t="str">
        <f t="shared" si="11"/>
        <v>#N/A</v>
      </c>
      <c r="V230" s="1" t="str">
        <f t="shared" si="12"/>
        <v>#N/A</v>
      </c>
      <c r="W230" s="1" t="str">
        <f t="shared" si="13"/>
        <v>#N/A</v>
      </c>
      <c r="X230" s="1" t="str">
        <f t="shared" si="14"/>
        <v>#N/A</v>
      </c>
    </row>
    <row r="231">
      <c r="A231" s="1" t="str">
        <f>TRIM(CLEAN(PROPER(peakflow_q1_2025_dirty!A233)))</f>
        <v>D-1118</v>
      </c>
      <c r="B231" s="10">
        <f>DATEVALUE(TRIM(CLEAN(peakflow_q1_2025_dirty!B233)))</f>
        <v>45738</v>
      </c>
      <c r="C231" s="1" t="str">
        <f>TRIM(CLEAN(PROPER(peakflow_q1_2025_dirty!C233)))</f>
        <v>Iris Co</v>
      </c>
      <c r="D231" s="1" t="str">
        <f>TRIM(CLEAN(PROPER(peakflow_q1_2025_dirty!D233)))</f>
        <v>Business Plan</v>
      </c>
      <c r="E231" s="1" t="str">
        <f>TRIM(CLEAN(PROPER(peakflow_q1_2025_dirty!E233)))</f>
        <v>Marcus Johnson</v>
      </c>
      <c r="F231" s="1" t="str">
        <f>TRIM(CLEAN(PROPER(peakflow_q1_2025_dirty!F233)))</f>
        <v>Sarah Chen</v>
      </c>
      <c r="G231" s="1" t="str">
        <f>TRIM(CLEAN(UPPER(peakflow_q1_2025_dirty!G233)))</f>
        <v>EMEA</v>
      </c>
      <c r="H231" s="1">
        <f>VALUE(TRIM((CLEAN(peakflow_q1_2025_dirty!H233))))</f>
        <v>1</v>
      </c>
      <c r="I231" s="8">
        <f>VALUE(SUBSTITUTE(peakflow_q1_2025_dirty!I233,".","," ))</f>
        <v>475.9</v>
      </c>
      <c r="J231" s="8">
        <f t="shared" si="1"/>
        <v>475.9</v>
      </c>
      <c r="K231" s="1" t="str">
        <f t="shared" si="2"/>
        <v>März</v>
      </c>
      <c r="M231" s="1" t="str">
        <f t="shared" si="3"/>
        <v>#N/A</v>
      </c>
      <c r="N231" s="1" t="str">
        <f t="shared" si="4"/>
        <v>#N/A</v>
      </c>
      <c r="O231" s="1" t="str">
        <f t="shared" si="5"/>
        <v>#N/A</v>
      </c>
      <c r="P231" s="1" t="str">
        <f t="shared" si="6"/>
        <v>#N/A</v>
      </c>
      <c r="Q231" s="1">
        <f t="shared" si="7"/>
        <v>1</v>
      </c>
      <c r="R231" s="8">
        <f t="shared" si="8"/>
        <v>475.9</v>
      </c>
      <c r="S231" s="1" t="str">
        <f t="shared" si="9"/>
        <v>#N/A</v>
      </c>
      <c r="T231" s="1" t="str">
        <f t="shared" si="10"/>
        <v>#N/A</v>
      </c>
      <c r="U231" s="1" t="str">
        <f t="shared" si="11"/>
        <v>#N/A</v>
      </c>
      <c r="V231" s="1" t="str">
        <f t="shared" si="12"/>
        <v>#N/A</v>
      </c>
      <c r="W231" s="1" t="str">
        <f t="shared" si="13"/>
        <v>#N/A</v>
      </c>
      <c r="X231" s="1" t="str">
        <f t="shared" si="14"/>
        <v>#N/A</v>
      </c>
    </row>
    <row r="232">
      <c r="A232" s="1" t="str">
        <f>TRIM(CLEAN(PROPER(peakflow_q1_2025_dirty!A234)))</f>
        <v>D-1201</v>
      </c>
      <c r="B232" s="10">
        <f>DATEVALUE(TRIM(CLEAN(peakflow_q1_2025_dirty!B234)))</f>
        <v>45739</v>
      </c>
      <c r="C232" s="1" t="str">
        <f>TRIM(CLEAN(PROPER(peakflow_q1_2025_dirty!C234)))</f>
        <v>Kestrel Co</v>
      </c>
      <c r="D232" s="1" t="str">
        <f>TRIM(CLEAN(PROPER(peakflow_q1_2025_dirty!D234)))</f>
        <v>Pro Plan</v>
      </c>
      <c r="E232" s="1" t="str">
        <f>TRIM(CLEAN(PROPER(peakflow_q1_2025_dirty!E234)))</f>
        <v>Priya Patel</v>
      </c>
      <c r="F232" s="1" t="str">
        <f>TRIM(CLEAN(PROPER(peakflow_q1_2025_dirty!F234)))</f>
        <v>Maya Rodriguez</v>
      </c>
      <c r="G232" s="1" t="str">
        <f>TRIM(CLEAN(UPPER(peakflow_q1_2025_dirty!G234)))</f>
        <v>LATAM</v>
      </c>
      <c r="H232" s="1">
        <f>VALUE(TRIM((CLEAN(peakflow_q1_2025_dirty!H234))))</f>
        <v>1</v>
      </c>
      <c r="I232" s="8">
        <f>VALUE(SUBSTITUTE(peakflow_q1_2025_dirty!I234,".","," ))</f>
        <v>224.95</v>
      </c>
      <c r="J232" s="8">
        <f t="shared" si="1"/>
        <v>224.95</v>
      </c>
      <c r="K232" s="1" t="str">
        <f t="shared" si="2"/>
        <v>März</v>
      </c>
      <c r="M232" s="1" t="str">
        <f t="shared" si="3"/>
        <v>#N/A</v>
      </c>
      <c r="N232" s="1" t="str">
        <f t="shared" si="4"/>
        <v>#N/A</v>
      </c>
      <c r="O232" s="1" t="str">
        <f t="shared" si="5"/>
        <v>#N/A</v>
      </c>
      <c r="P232" s="1" t="str">
        <f t="shared" si="6"/>
        <v>#N/A</v>
      </c>
      <c r="Q232" s="1" t="str">
        <f t="shared" si="7"/>
        <v>#N/A</v>
      </c>
      <c r="R232" s="1" t="str">
        <f t="shared" si="8"/>
        <v>#N/A</v>
      </c>
      <c r="S232" s="1" t="str">
        <f t="shared" si="9"/>
        <v>#N/A</v>
      </c>
      <c r="T232" s="1" t="str">
        <f t="shared" si="10"/>
        <v>#N/A</v>
      </c>
      <c r="U232" s="1">
        <f t="shared" si="11"/>
        <v>1</v>
      </c>
      <c r="V232" s="8">
        <f t="shared" si="12"/>
        <v>224.95</v>
      </c>
      <c r="W232" s="1" t="str">
        <f t="shared" si="13"/>
        <v>#N/A</v>
      </c>
      <c r="X232" s="1" t="str">
        <f t="shared" si="14"/>
        <v>#N/A</v>
      </c>
    </row>
    <row r="233">
      <c r="A233" s="1" t="str">
        <f>TRIM(CLEAN(PROPER(peakflow_q1_2025_dirty!A235)))</f>
        <v>D-1212</v>
      </c>
      <c r="B233" s="10">
        <f>DATEVALUE(TRIM(CLEAN(peakflow_q1_2025_dirty!B235)))</f>
        <v>45739</v>
      </c>
      <c r="C233" s="1" t="str">
        <f>TRIM(CLEAN(PROPER(peakflow_q1_2025_dirty!C235)))</f>
        <v>Harbor Inc</v>
      </c>
      <c r="D233" s="1" t="str">
        <f>TRIM(CLEAN(PROPER(peakflow_q1_2025_dirty!D235)))</f>
        <v>Pro Plan</v>
      </c>
      <c r="E233" s="1" t="str">
        <f>TRIM(CLEAN(PROPER(peakflow_q1_2025_dirty!E235)))</f>
        <v>Marcus Johnson</v>
      </c>
      <c r="F233" s="1" t="str">
        <f>TRIM(CLEAN(PROPER(peakflow_q1_2025_dirty!F235)))</f>
        <v>Sarah Chen</v>
      </c>
      <c r="G233" s="1" t="str">
        <f>TRIM(CLEAN(UPPER(peakflow_q1_2025_dirty!G235)))</f>
        <v>EMEA</v>
      </c>
      <c r="H233" s="1">
        <f>VALUE(TRIM((CLEAN(peakflow_q1_2025_dirty!H235))))</f>
        <v>2</v>
      </c>
      <c r="I233" s="8">
        <f>VALUE(SUBSTITUTE(peakflow_q1_2025_dirty!I235,".","," ))</f>
        <v>283.25</v>
      </c>
      <c r="J233" s="8">
        <f t="shared" si="1"/>
        <v>566.5</v>
      </c>
      <c r="K233" s="1" t="str">
        <f t="shared" si="2"/>
        <v>März</v>
      </c>
      <c r="M233" s="1" t="str">
        <f t="shared" si="3"/>
        <v>#N/A</v>
      </c>
      <c r="N233" s="1" t="str">
        <f t="shared" si="4"/>
        <v>#N/A</v>
      </c>
      <c r="O233" s="1" t="str">
        <f t="shared" si="5"/>
        <v>#N/A</v>
      </c>
      <c r="P233" s="1" t="str">
        <f t="shared" si="6"/>
        <v>#N/A</v>
      </c>
      <c r="Q233" s="1" t="str">
        <f t="shared" si="7"/>
        <v>#N/A</v>
      </c>
      <c r="R233" s="1" t="str">
        <f t="shared" si="8"/>
        <v>#N/A</v>
      </c>
      <c r="S233" s="1" t="str">
        <f t="shared" si="9"/>
        <v>#N/A</v>
      </c>
      <c r="T233" s="1" t="str">
        <f t="shared" si="10"/>
        <v>#N/A</v>
      </c>
      <c r="U233" s="1">
        <f t="shared" si="11"/>
        <v>2</v>
      </c>
      <c r="V233" s="8">
        <f t="shared" si="12"/>
        <v>283.25</v>
      </c>
      <c r="W233" s="1" t="str">
        <f t="shared" si="13"/>
        <v>#N/A</v>
      </c>
      <c r="X233" s="1" t="str">
        <f t="shared" si="14"/>
        <v>#N/A</v>
      </c>
    </row>
    <row r="234">
      <c r="A234" s="1" t="str">
        <f>TRIM(CLEAN(PROPER(peakflow_q1_2025_dirty!A236)))</f>
        <v>D-1053</v>
      </c>
      <c r="B234" s="10">
        <f>DATEVALUE(TRIM(CLEAN(peakflow_q1_2025_dirty!B236)))</f>
        <v>45740</v>
      </c>
      <c r="C234" s="1" t="str">
        <f>TRIM(CLEAN(PROPER(peakflow_q1_2025_dirty!C236)))</f>
        <v>Foundry Group</v>
      </c>
      <c r="D234" s="1" t="str">
        <f>TRIM(CLEAN(PROPER(peakflow_q1_2025_dirty!D236)))</f>
        <v>Starter Plan</v>
      </c>
      <c r="E234" s="1" t="str">
        <f>TRIM(CLEAN(PROPER(peakflow_q1_2025_dirty!E236)))</f>
        <v>Carlos Mendez</v>
      </c>
      <c r="F234" s="1" t="str">
        <f>TRIM(CLEAN(PROPER(peakflow_q1_2025_dirty!F236)))</f>
        <v>Maya Rodriguez</v>
      </c>
      <c r="G234" s="1" t="str">
        <f>TRIM(CLEAN(UPPER(peakflow_q1_2025_dirty!G236)))</f>
        <v>EMEA</v>
      </c>
      <c r="H234" s="1">
        <f>VALUE(TRIM((CLEAN(peakflow_q1_2025_dirty!H236))))</f>
        <v>50</v>
      </c>
      <c r="I234" s="8">
        <f>VALUE(SUBSTITUTE(peakflow_q1_2025_dirty!I236,".","," ))</f>
        <v>48.49</v>
      </c>
      <c r="J234" s="8">
        <f t="shared" si="1"/>
        <v>2424.5</v>
      </c>
      <c r="K234" s="1" t="str">
        <f t="shared" si="2"/>
        <v>März</v>
      </c>
      <c r="M234" s="1" t="str">
        <f t="shared" si="3"/>
        <v>#N/A</v>
      </c>
      <c r="N234" s="1" t="str">
        <f t="shared" si="4"/>
        <v>#N/A</v>
      </c>
      <c r="O234" s="1" t="str">
        <f t="shared" si="5"/>
        <v>#N/A</v>
      </c>
      <c r="P234" s="1" t="str">
        <f t="shared" si="6"/>
        <v>#N/A</v>
      </c>
      <c r="Q234" s="1" t="str">
        <f t="shared" si="7"/>
        <v>#N/A</v>
      </c>
      <c r="R234" s="1" t="str">
        <f t="shared" si="8"/>
        <v>#N/A</v>
      </c>
      <c r="S234" s="1" t="str">
        <f t="shared" si="9"/>
        <v>#N/A</v>
      </c>
      <c r="T234" s="1" t="str">
        <f t="shared" si="10"/>
        <v>#N/A</v>
      </c>
      <c r="U234" s="1" t="str">
        <f t="shared" si="11"/>
        <v>#N/A</v>
      </c>
      <c r="V234" s="1" t="str">
        <f t="shared" si="12"/>
        <v>#N/A</v>
      </c>
      <c r="W234" s="1">
        <f t="shared" si="13"/>
        <v>50</v>
      </c>
      <c r="X234" s="8">
        <f t="shared" si="14"/>
        <v>48.49</v>
      </c>
    </row>
    <row r="235">
      <c r="A235" s="1" t="str">
        <f>TRIM(CLEAN(PROPER(peakflow_q1_2025_dirty!A237)))</f>
        <v>D-1070</v>
      </c>
      <c r="B235" s="10">
        <f>DATEVALUE(TRIM(CLEAN(peakflow_q1_2025_dirty!B237)))</f>
        <v>45740</v>
      </c>
      <c r="C235" s="1" t="str">
        <f>TRIM(CLEAN(PROPER(peakflow_q1_2025_dirty!C237)))</f>
        <v>Obsidian Co</v>
      </c>
      <c r="D235" s="1" t="str">
        <f>TRIM(CLEAN(PROPER(peakflow_q1_2025_dirty!D237)))</f>
        <v>Pro Plan</v>
      </c>
      <c r="E235" s="1" t="str">
        <f>TRIM(CLEAN(PROPER(peakflow_q1_2025_dirty!E237)))</f>
        <v>Raj Sharma</v>
      </c>
      <c r="F235" s="1" t="str">
        <f>TRIM(CLEAN(PROPER(peakflow_q1_2025_dirty!F237)))</f>
        <v>Owen Walsh</v>
      </c>
      <c r="G235" s="1" t="str">
        <f>TRIM(CLEAN(UPPER(peakflow_q1_2025_dirty!G237)))</f>
        <v>APAC</v>
      </c>
      <c r="H235" s="1">
        <f>VALUE(TRIM((CLEAN(peakflow_q1_2025_dirty!H237))))</f>
        <v>20</v>
      </c>
      <c r="I235" s="8">
        <f>VALUE(SUBSTITUTE(peakflow_q1_2025_dirty!I237,".","," ))</f>
        <v>265.15</v>
      </c>
      <c r="J235" s="8">
        <f t="shared" si="1"/>
        <v>5303</v>
      </c>
      <c r="K235" s="1" t="str">
        <f t="shared" si="2"/>
        <v>März</v>
      </c>
      <c r="M235" s="1" t="str">
        <f t="shared" si="3"/>
        <v>#N/A</v>
      </c>
      <c r="N235" s="1" t="str">
        <f t="shared" si="4"/>
        <v>#N/A</v>
      </c>
      <c r="O235" s="1" t="str">
        <f t="shared" si="5"/>
        <v>#N/A</v>
      </c>
      <c r="P235" s="1" t="str">
        <f t="shared" si="6"/>
        <v>#N/A</v>
      </c>
      <c r="Q235" s="1" t="str">
        <f t="shared" si="7"/>
        <v>#N/A</v>
      </c>
      <c r="R235" s="1" t="str">
        <f t="shared" si="8"/>
        <v>#N/A</v>
      </c>
      <c r="S235" s="1" t="str">
        <f t="shared" si="9"/>
        <v>#N/A</v>
      </c>
      <c r="T235" s="1" t="str">
        <f t="shared" si="10"/>
        <v>#N/A</v>
      </c>
      <c r="U235" s="1">
        <f t="shared" si="11"/>
        <v>20</v>
      </c>
      <c r="V235" s="8">
        <f t="shared" si="12"/>
        <v>265.15</v>
      </c>
      <c r="W235" s="1" t="str">
        <f t="shared" si="13"/>
        <v>#N/A</v>
      </c>
      <c r="X235" s="1" t="str">
        <f t="shared" si="14"/>
        <v>#N/A</v>
      </c>
    </row>
    <row r="236">
      <c r="A236" s="1" t="str">
        <f>TRIM(CLEAN(PROPER(peakflow_q1_2025_dirty!A238)))</f>
        <v>D-1177</v>
      </c>
      <c r="B236" s="10">
        <f>DATEVALUE(TRIM(CLEAN(peakflow_q1_2025_dirty!B238)))</f>
        <v>45740</v>
      </c>
      <c r="C236" s="1" t="str">
        <f>TRIM(CLEAN(PROPER(peakflow_q1_2025_dirty!C238)))</f>
        <v>Onyx Group</v>
      </c>
      <c r="D236" s="1" t="str">
        <f>TRIM(CLEAN(PROPER(peakflow_q1_2025_dirty!D238)))</f>
        <v>Starter Plan</v>
      </c>
      <c r="E236" s="1" t="str">
        <f>TRIM(CLEAN(PROPER(peakflow_q1_2025_dirty!E238)))</f>
        <v>Nina Petrov</v>
      </c>
      <c r="F236" s="1" t="str">
        <f>TRIM(CLEAN(PROPER(peakflow_q1_2025_dirty!F238)))</f>
        <v>Lukas Becker</v>
      </c>
      <c r="G236" s="1" t="str">
        <f>TRIM(CLEAN(UPPER(peakflow_q1_2025_dirty!G238)))</f>
        <v>APAC</v>
      </c>
      <c r="H236" s="1">
        <f>VALUE(TRIM((CLEAN(peakflow_q1_2025_dirty!H238))))</f>
        <v>1</v>
      </c>
      <c r="I236" s="8">
        <f>VALUE(SUBSTITUTE(peakflow_q1_2025_dirty!I238,".","," ))</f>
        <v>67.1</v>
      </c>
      <c r="J236" s="8">
        <f t="shared" si="1"/>
        <v>67.1</v>
      </c>
      <c r="K236" s="1" t="str">
        <f t="shared" si="2"/>
        <v>März</v>
      </c>
      <c r="M236" s="1" t="str">
        <f t="shared" si="3"/>
        <v>#N/A</v>
      </c>
      <c r="N236" s="1" t="str">
        <f t="shared" si="4"/>
        <v>#N/A</v>
      </c>
      <c r="O236" s="1" t="str">
        <f t="shared" si="5"/>
        <v>#N/A</v>
      </c>
      <c r="P236" s="1" t="str">
        <f t="shared" si="6"/>
        <v>#N/A</v>
      </c>
      <c r="Q236" s="1" t="str">
        <f t="shared" si="7"/>
        <v>#N/A</v>
      </c>
      <c r="R236" s="1" t="str">
        <f t="shared" si="8"/>
        <v>#N/A</v>
      </c>
      <c r="S236" s="1" t="str">
        <f t="shared" si="9"/>
        <v>#N/A</v>
      </c>
      <c r="T236" s="1" t="str">
        <f t="shared" si="10"/>
        <v>#N/A</v>
      </c>
      <c r="U236" s="1" t="str">
        <f t="shared" si="11"/>
        <v>#N/A</v>
      </c>
      <c r="V236" s="1" t="str">
        <f t="shared" si="12"/>
        <v>#N/A</v>
      </c>
      <c r="W236" s="1">
        <f t="shared" si="13"/>
        <v>1</v>
      </c>
      <c r="X236" s="8">
        <f t="shared" si="14"/>
        <v>67.1</v>
      </c>
    </row>
    <row r="237">
      <c r="A237" s="1" t="str">
        <f>TRIM(CLEAN(PROPER(peakflow_q1_2025_dirty!A239)))</f>
        <v>D-1188</v>
      </c>
      <c r="B237" s="10">
        <f>DATEVALUE(TRIM(CLEAN(peakflow_q1_2025_dirty!B239)))</f>
        <v>45740</v>
      </c>
      <c r="C237" s="1" t="str">
        <f>TRIM(CLEAN(PROPER(peakflow_q1_2025_dirty!C239)))</f>
        <v>Catalyst Inc</v>
      </c>
      <c r="D237" s="1" t="str">
        <f>TRIM(CLEAN(PROPER(peakflow_q1_2025_dirty!D239)))</f>
        <v>Pro Plan</v>
      </c>
      <c r="E237" s="1" t="str">
        <f>TRIM(CLEAN(PROPER(peakflow_q1_2025_dirty!E239)))</f>
        <v>Carlos Mendez</v>
      </c>
      <c r="F237" s="1" t="str">
        <f>TRIM(CLEAN(PROPER(peakflow_q1_2025_dirty!F239)))</f>
        <v>Maya Rodriguez</v>
      </c>
      <c r="G237" s="1" t="str">
        <f>TRIM(CLEAN(UPPER(peakflow_q1_2025_dirty!G239)))</f>
        <v>LATAM</v>
      </c>
      <c r="H237" s="1">
        <f>VALUE(TRIM((CLEAN(peakflow_q1_2025_dirty!H239))))</f>
        <v>1</v>
      </c>
      <c r="I237" s="8">
        <f>VALUE(SUBSTITUTE(peakflow_q1_2025_dirty!I239,".","," ))</f>
        <v>187.23</v>
      </c>
      <c r="J237" s="8">
        <f t="shared" si="1"/>
        <v>187.23</v>
      </c>
      <c r="K237" s="1" t="str">
        <f t="shared" si="2"/>
        <v>März</v>
      </c>
      <c r="M237" s="1" t="str">
        <f t="shared" si="3"/>
        <v>#N/A</v>
      </c>
      <c r="N237" s="1" t="str">
        <f t="shared" si="4"/>
        <v>#N/A</v>
      </c>
      <c r="O237" s="1" t="str">
        <f t="shared" si="5"/>
        <v>#N/A</v>
      </c>
      <c r="P237" s="1" t="str">
        <f t="shared" si="6"/>
        <v>#N/A</v>
      </c>
      <c r="Q237" s="1" t="str">
        <f t="shared" si="7"/>
        <v>#N/A</v>
      </c>
      <c r="R237" s="1" t="str">
        <f t="shared" si="8"/>
        <v>#N/A</v>
      </c>
      <c r="S237" s="1" t="str">
        <f t="shared" si="9"/>
        <v>#N/A</v>
      </c>
      <c r="T237" s="1" t="str">
        <f t="shared" si="10"/>
        <v>#N/A</v>
      </c>
      <c r="U237" s="1">
        <f t="shared" si="11"/>
        <v>1</v>
      </c>
      <c r="V237" s="8">
        <f t="shared" si="12"/>
        <v>187.23</v>
      </c>
      <c r="W237" s="1" t="str">
        <f t="shared" si="13"/>
        <v>#N/A</v>
      </c>
      <c r="X237" s="1" t="str">
        <f t="shared" si="14"/>
        <v>#N/A</v>
      </c>
    </row>
    <row r="238">
      <c r="A238" s="1" t="str">
        <f>TRIM(CLEAN(PROPER(peakflow_q1_2025_dirty!A240)))</f>
        <v>D-1018</v>
      </c>
      <c r="B238" s="10">
        <f>DATEVALUE(TRIM(CLEAN(peakflow_q1_2025_dirty!B240)))</f>
        <v>45741</v>
      </c>
      <c r="C238" s="1" t="str">
        <f>TRIM(CLEAN(PROPER(peakflow_q1_2025_dirty!C240)))</f>
        <v>Nimbus Co</v>
      </c>
      <c r="D238" s="1" t="str">
        <f>TRIM(CLEAN(PROPER(peakflow_q1_2025_dirty!D240)))</f>
        <v>Enterprise Plan</v>
      </c>
      <c r="E238" s="1" t="str">
        <f>TRIM(CLEAN(PROPER(peakflow_q1_2025_dirty!E240)))</f>
        <v>Tom Wilson</v>
      </c>
      <c r="F238" s="1" t="str">
        <f>TRIM(CLEAN(PROPER(peakflow_q1_2025_dirty!F240)))</f>
        <v>Lukas Becker</v>
      </c>
      <c r="G238" s="1" t="str">
        <f>TRIM(CLEAN(UPPER(peakflow_q1_2025_dirty!G240)))</f>
        <v>LATAM</v>
      </c>
      <c r="H238" s="1">
        <f>VALUE(TRIM((CLEAN(peakflow_q1_2025_dirty!H240))))</f>
        <v>1</v>
      </c>
      <c r="I238" s="8">
        <f>VALUE(SUBSTITUTE(peakflow_q1_2025_dirty!I240,".","," ))</f>
        <v>1227.17</v>
      </c>
      <c r="J238" s="8">
        <f t="shared" si="1"/>
        <v>1227.17</v>
      </c>
      <c r="K238" s="1" t="str">
        <f t="shared" si="2"/>
        <v>März</v>
      </c>
      <c r="M238" s="1" t="str">
        <f t="shared" si="3"/>
        <v>#N/A</v>
      </c>
      <c r="N238" s="1" t="str">
        <f t="shared" si="4"/>
        <v>#N/A</v>
      </c>
      <c r="O238" s="1" t="str">
        <f t="shared" si="5"/>
        <v>#N/A</v>
      </c>
      <c r="P238" s="1" t="str">
        <f t="shared" si="6"/>
        <v>#N/A</v>
      </c>
      <c r="Q238" s="1" t="str">
        <f t="shared" si="7"/>
        <v>#N/A</v>
      </c>
      <c r="R238" s="1" t="str">
        <f t="shared" si="8"/>
        <v>#N/A</v>
      </c>
      <c r="S238" s="1">
        <f t="shared" si="9"/>
        <v>1</v>
      </c>
      <c r="T238" s="8">
        <f t="shared" si="10"/>
        <v>1227.17</v>
      </c>
      <c r="U238" s="1" t="str">
        <f t="shared" si="11"/>
        <v>#N/A</v>
      </c>
      <c r="V238" s="1" t="str">
        <f t="shared" si="12"/>
        <v>#N/A</v>
      </c>
      <c r="W238" s="1" t="str">
        <f t="shared" si="13"/>
        <v>#N/A</v>
      </c>
      <c r="X238" s="1" t="str">
        <f t="shared" si="14"/>
        <v>#N/A</v>
      </c>
    </row>
    <row r="239">
      <c r="A239" s="1" t="str">
        <f>TRIM(CLEAN(PROPER(peakflow_q1_2025_dirty!A241)))</f>
        <v>D-1022</v>
      </c>
      <c r="B239" s="10">
        <f>DATEVALUE(TRIM(CLEAN(peakflow_q1_2025_dirty!B241)))</f>
        <v>45742</v>
      </c>
      <c r="C239" s="1" t="str">
        <f>TRIM(CLEAN(PROPER(peakflow_q1_2025_dirty!C241)))</f>
        <v>Solstice Group</v>
      </c>
      <c r="D239" s="1" t="str">
        <f>TRIM(CLEAN(PROPER(peakflow_q1_2025_dirty!D241)))</f>
        <v>Add-On: Support</v>
      </c>
      <c r="E239" s="1" t="str">
        <f>TRIM(CLEAN(PROPER(peakflow_q1_2025_dirty!E241)))</f>
        <v>Sophie Laurent</v>
      </c>
      <c r="F239" s="1" t="str">
        <f>TRIM(CLEAN(PROPER(peakflow_q1_2025_dirty!F241)))</f>
        <v>Maya Rodriguez</v>
      </c>
      <c r="G239" s="1" t="str">
        <f>TRIM(CLEAN(UPPER(peakflow_q1_2025_dirty!G241)))</f>
        <v>EMEA</v>
      </c>
      <c r="H239" s="1">
        <f>VALUE(TRIM((CLEAN(peakflow_q1_2025_dirty!H241))))</f>
        <v>2</v>
      </c>
      <c r="I239" s="8">
        <f>VALUE(SUBSTITUTE(peakflow_q1_2025_dirty!I241,".","," ))</f>
        <v>100.36</v>
      </c>
      <c r="J239" s="8">
        <f t="shared" si="1"/>
        <v>200.72</v>
      </c>
      <c r="K239" s="1" t="str">
        <f t="shared" si="2"/>
        <v>März</v>
      </c>
      <c r="M239" s="1" t="str">
        <f t="shared" si="3"/>
        <v>#N/A</v>
      </c>
      <c r="N239" s="1" t="str">
        <f t="shared" si="4"/>
        <v>#N/A</v>
      </c>
      <c r="O239" s="1">
        <f t="shared" si="5"/>
        <v>2</v>
      </c>
      <c r="P239" s="8">
        <f t="shared" si="6"/>
        <v>100.36</v>
      </c>
      <c r="Q239" s="1" t="str">
        <f t="shared" si="7"/>
        <v>#N/A</v>
      </c>
      <c r="R239" s="1" t="str">
        <f t="shared" si="8"/>
        <v>#N/A</v>
      </c>
      <c r="S239" s="1" t="str">
        <f t="shared" si="9"/>
        <v>#N/A</v>
      </c>
      <c r="T239" s="1" t="str">
        <f t="shared" si="10"/>
        <v>#N/A</v>
      </c>
      <c r="U239" s="1" t="str">
        <f t="shared" si="11"/>
        <v>#N/A</v>
      </c>
      <c r="V239" s="1" t="str">
        <f t="shared" si="12"/>
        <v>#N/A</v>
      </c>
      <c r="W239" s="1" t="str">
        <f t="shared" si="13"/>
        <v>#N/A</v>
      </c>
      <c r="X239" s="1" t="str">
        <f t="shared" si="14"/>
        <v>#N/A</v>
      </c>
    </row>
    <row r="240">
      <c r="A240" s="1" t="str">
        <f>TRIM(CLEAN(PROPER(peakflow_q1_2025_dirty!A242)))</f>
        <v>D-1165</v>
      </c>
      <c r="B240" s="10">
        <f>DATEVALUE(TRIM(CLEAN(peakflow_q1_2025_dirty!B242)))</f>
        <v>45742</v>
      </c>
      <c r="C240" s="1" t="str">
        <f>TRIM(CLEAN(PROPER(peakflow_q1_2025_dirty!C242)))</f>
        <v>Meridian Group</v>
      </c>
      <c r="D240" s="1" t="str">
        <f>TRIM(CLEAN(PROPER(peakflow_q1_2025_dirty!D242)))</f>
        <v>Add-On: Analytics</v>
      </c>
      <c r="E240" s="1" t="str">
        <f>TRIM(CLEAN(PROPER(peakflow_q1_2025_dirty!E242)))</f>
        <v>Nina Petrov</v>
      </c>
      <c r="F240" s="1" t="str">
        <f>TRIM(CLEAN(PROPER(peakflow_q1_2025_dirty!F242)))</f>
        <v>Lukas Becker</v>
      </c>
      <c r="G240" s="1" t="str">
        <f>TRIM(CLEAN(UPPER(peakflow_q1_2025_dirty!G242)))</f>
        <v>EMEA</v>
      </c>
      <c r="H240" s="1">
        <f>VALUE(TRIM((CLEAN(peakflow_q1_2025_dirty!H242))))</f>
        <v>1</v>
      </c>
      <c r="I240" s="8">
        <f>VALUE(SUBSTITUTE(peakflow_q1_2025_dirty!I242,".","," ))</f>
        <v>95.13</v>
      </c>
      <c r="J240" s="8">
        <f t="shared" si="1"/>
        <v>95.13</v>
      </c>
      <c r="K240" s="1" t="str">
        <f t="shared" si="2"/>
        <v>März</v>
      </c>
      <c r="M240" s="1">
        <f t="shared" si="3"/>
        <v>1</v>
      </c>
      <c r="N240" s="8">
        <f t="shared" si="4"/>
        <v>95.13</v>
      </c>
      <c r="O240" s="1" t="str">
        <f t="shared" si="5"/>
        <v>#N/A</v>
      </c>
      <c r="P240" s="1" t="str">
        <f t="shared" si="6"/>
        <v>#N/A</v>
      </c>
      <c r="Q240" s="1" t="str">
        <f t="shared" si="7"/>
        <v>#N/A</v>
      </c>
      <c r="R240" s="1" t="str">
        <f t="shared" si="8"/>
        <v>#N/A</v>
      </c>
      <c r="S240" s="1" t="str">
        <f t="shared" si="9"/>
        <v>#N/A</v>
      </c>
      <c r="T240" s="1" t="str">
        <f t="shared" si="10"/>
        <v>#N/A</v>
      </c>
      <c r="U240" s="1" t="str">
        <f t="shared" si="11"/>
        <v>#N/A</v>
      </c>
      <c r="V240" s="1" t="str">
        <f t="shared" si="12"/>
        <v>#N/A</v>
      </c>
      <c r="W240" s="1" t="str">
        <f t="shared" si="13"/>
        <v>#N/A</v>
      </c>
      <c r="X240" s="1" t="str">
        <f t="shared" si="14"/>
        <v>#N/A</v>
      </c>
    </row>
    <row r="241">
      <c r="A241" s="1" t="str">
        <f>TRIM(CLEAN(PROPER(peakflow_q1_2025_dirty!A243)))</f>
        <v>D-1189</v>
      </c>
      <c r="B241" s="10">
        <f>DATEVALUE(TRIM(CLEAN(peakflow_q1_2025_dirty!B243)))</f>
        <v>45742</v>
      </c>
      <c r="C241" s="1" t="str">
        <f>TRIM(CLEAN(PROPER(peakflow_q1_2025_dirty!C243)))</f>
        <v>Nimbus Co</v>
      </c>
      <c r="D241" s="1" t="str">
        <f>TRIM(CLEAN(PROPER(peakflow_q1_2025_dirty!D243)))</f>
        <v>Starter Plan</v>
      </c>
      <c r="E241" s="1" t="str">
        <f>TRIM(CLEAN(PROPER(peakflow_q1_2025_dirty!E243)))</f>
        <v>Priya Patel</v>
      </c>
      <c r="F241" s="1" t="str">
        <f>TRIM(CLEAN(PROPER(peakflow_q1_2025_dirty!F243)))</f>
        <v>Maya Rodriguez</v>
      </c>
      <c r="G241" s="1" t="str">
        <f>TRIM(CLEAN(UPPER(peakflow_q1_2025_dirty!G243)))</f>
        <v>EMEA</v>
      </c>
      <c r="H241" s="1">
        <f>VALUE(TRIM((CLEAN(peakflow_q1_2025_dirty!H243))))</f>
        <v>1</v>
      </c>
      <c r="I241" s="8">
        <f>VALUE(SUBSTITUTE(peakflow_q1_2025_dirty!I243,".","," ))</f>
        <v>66.01</v>
      </c>
      <c r="J241" s="8">
        <f t="shared" si="1"/>
        <v>66.01</v>
      </c>
      <c r="K241" s="1" t="str">
        <f t="shared" si="2"/>
        <v>März</v>
      </c>
      <c r="M241" s="1" t="str">
        <f t="shared" si="3"/>
        <v>#N/A</v>
      </c>
      <c r="N241" s="1" t="str">
        <f t="shared" si="4"/>
        <v>#N/A</v>
      </c>
      <c r="O241" s="1" t="str">
        <f t="shared" si="5"/>
        <v>#N/A</v>
      </c>
      <c r="P241" s="1" t="str">
        <f t="shared" si="6"/>
        <v>#N/A</v>
      </c>
      <c r="Q241" s="1" t="str">
        <f t="shared" si="7"/>
        <v>#N/A</v>
      </c>
      <c r="R241" s="1" t="str">
        <f t="shared" si="8"/>
        <v>#N/A</v>
      </c>
      <c r="S241" s="1" t="str">
        <f t="shared" si="9"/>
        <v>#N/A</v>
      </c>
      <c r="T241" s="1" t="str">
        <f t="shared" si="10"/>
        <v>#N/A</v>
      </c>
      <c r="U241" s="1" t="str">
        <f t="shared" si="11"/>
        <v>#N/A</v>
      </c>
      <c r="V241" s="1" t="str">
        <f t="shared" si="12"/>
        <v>#N/A</v>
      </c>
      <c r="W241" s="1">
        <f t="shared" si="13"/>
        <v>1</v>
      </c>
      <c r="X241" s="8">
        <f t="shared" si="14"/>
        <v>66.01</v>
      </c>
    </row>
    <row r="242">
      <c r="A242" s="1" t="str">
        <f>TRIM(CLEAN(PROPER(peakflow_q1_2025_dirty!A244)))</f>
        <v>D-1156</v>
      </c>
      <c r="B242" s="10">
        <f>DATEVALUE(TRIM(CLEAN(peakflow_q1_2025_dirty!B244)))</f>
        <v>45743</v>
      </c>
      <c r="C242" s="1" t="str">
        <f>TRIM(CLEAN(PROPER(peakflow_q1_2025_dirty!C244)))</f>
        <v>Kestrel Co</v>
      </c>
      <c r="D242" s="1" t="str">
        <f>TRIM(CLEAN(PROPER(peakflow_q1_2025_dirty!D244)))</f>
        <v>Business Plan</v>
      </c>
      <c r="E242" s="1" t="str">
        <f>TRIM(CLEAN(PROPER(peakflow_q1_2025_dirty!E244)))</f>
        <v>Priya Patel</v>
      </c>
      <c r="F242" s="1" t="str">
        <f>TRIM(CLEAN(PROPER(peakflow_q1_2025_dirty!F244)))</f>
        <v>Maya Rodriguez</v>
      </c>
      <c r="G242" s="1" t="str">
        <f>TRIM(CLEAN(UPPER(peakflow_q1_2025_dirty!G244)))</f>
        <v>EMEA</v>
      </c>
      <c r="H242" s="1">
        <f>VALUE(TRIM((CLEAN(peakflow_q1_2025_dirty!H244))))</f>
        <v>2</v>
      </c>
      <c r="I242" s="8">
        <f>VALUE(SUBSTITUTE(peakflow_q1_2025_dirty!I244,".","," ))</f>
        <v>445.67</v>
      </c>
      <c r="J242" s="8">
        <f t="shared" si="1"/>
        <v>891.34</v>
      </c>
      <c r="K242" s="1" t="str">
        <f t="shared" si="2"/>
        <v>März</v>
      </c>
      <c r="M242" s="1" t="str">
        <f t="shared" si="3"/>
        <v>#N/A</v>
      </c>
      <c r="N242" s="1" t="str">
        <f t="shared" si="4"/>
        <v>#N/A</v>
      </c>
      <c r="O242" s="1" t="str">
        <f t="shared" si="5"/>
        <v>#N/A</v>
      </c>
      <c r="P242" s="1" t="str">
        <f t="shared" si="6"/>
        <v>#N/A</v>
      </c>
      <c r="Q242" s="1">
        <f t="shared" si="7"/>
        <v>2</v>
      </c>
      <c r="R242" s="8">
        <f t="shared" si="8"/>
        <v>445.67</v>
      </c>
      <c r="S242" s="1" t="str">
        <f t="shared" si="9"/>
        <v>#N/A</v>
      </c>
      <c r="T242" s="1" t="str">
        <f t="shared" si="10"/>
        <v>#N/A</v>
      </c>
      <c r="U242" s="1" t="str">
        <f t="shared" si="11"/>
        <v>#N/A</v>
      </c>
      <c r="V242" s="1" t="str">
        <f t="shared" si="12"/>
        <v>#N/A</v>
      </c>
      <c r="W242" s="1" t="str">
        <f t="shared" si="13"/>
        <v>#N/A</v>
      </c>
      <c r="X242" s="1" t="str">
        <f t="shared" si="14"/>
        <v>#N/A</v>
      </c>
    </row>
    <row r="243">
      <c r="A243" s="1" t="str">
        <f>TRIM(CLEAN(PROPER(peakflow_q1_2025_dirty!A245)))</f>
        <v>D-1019</v>
      </c>
      <c r="B243" s="10">
        <f>DATEVALUE(TRIM(CLEAN(peakflow_q1_2025_dirty!B245)))</f>
        <v>45744</v>
      </c>
      <c r="C243" s="1" t="str">
        <f>TRIM(CLEAN(PROPER(peakflow_q1_2025_dirty!C245)))</f>
        <v>Onyx Group</v>
      </c>
      <c r="D243" s="1" t="str">
        <f>TRIM(CLEAN(PROPER(peakflow_q1_2025_dirty!D245)))</f>
        <v>Starter Plan</v>
      </c>
      <c r="E243" s="1" t="str">
        <f>TRIM(CLEAN(PROPER(peakflow_q1_2025_dirty!E245)))</f>
        <v>Tom Wilson</v>
      </c>
      <c r="F243" s="1" t="str">
        <f>TRIM(CLEAN(PROPER(peakflow_q1_2025_dirty!F245)))</f>
        <v>Lukas Becker</v>
      </c>
      <c r="G243" s="1" t="str">
        <f>TRIM(CLEAN(UPPER(peakflow_q1_2025_dirty!G245)))</f>
        <v>APAC</v>
      </c>
      <c r="H243" s="1">
        <f>VALUE(TRIM((CLEAN(peakflow_q1_2025_dirty!H245))))</f>
        <v>1</v>
      </c>
      <c r="I243" s="8">
        <f>VALUE(SUBSTITUTE(peakflow_q1_2025_dirty!I245,".","," ))</f>
        <v>72.37</v>
      </c>
      <c r="J243" s="8">
        <f t="shared" si="1"/>
        <v>72.37</v>
      </c>
      <c r="K243" s="1" t="str">
        <f t="shared" si="2"/>
        <v>März</v>
      </c>
      <c r="M243" s="1" t="str">
        <f t="shared" si="3"/>
        <v>#N/A</v>
      </c>
      <c r="N243" s="1" t="str">
        <f t="shared" si="4"/>
        <v>#N/A</v>
      </c>
      <c r="O243" s="1" t="str">
        <f t="shared" si="5"/>
        <v>#N/A</v>
      </c>
      <c r="P243" s="1" t="str">
        <f t="shared" si="6"/>
        <v>#N/A</v>
      </c>
      <c r="Q243" s="1" t="str">
        <f t="shared" si="7"/>
        <v>#N/A</v>
      </c>
      <c r="R243" s="1" t="str">
        <f t="shared" si="8"/>
        <v>#N/A</v>
      </c>
      <c r="S243" s="1" t="str">
        <f t="shared" si="9"/>
        <v>#N/A</v>
      </c>
      <c r="T243" s="1" t="str">
        <f t="shared" si="10"/>
        <v>#N/A</v>
      </c>
      <c r="U243" s="1" t="str">
        <f t="shared" si="11"/>
        <v>#N/A</v>
      </c>
      <c r="V243" s="1" t="str">
        <f t="shared" si="12"/>
        <v>#N/A</v>
      </c>
      <c r="W243" s="1">
        <f t="shared" si="13"/>
        <v>1</v>
      </c>
      <c r="X243" s="8">
        <f t="shared" si="14"/>
        <v>72.37</v>
      </c>
    </row>
    <row r="244">
      <c r="A244" s="1" t="str">
        <f>TRIM(CLEAN(PROPER(peakflow_q1_2025_dirty!A246)))</f>
        <v>D-1128</v>
      </c>
      <c r="B244" s="10">
        <f>DATEVALUE(TRIM(CLEAN(peakflow_q1_2025_dirty!B246)))</f>
        <v>45744</v>
      </c>
      <c r="C244" s="1" t="str">
        <f>TRIM(CLEAN(PROPER(peakflow_q1_2025_dirty!C246)))</f>
        <v>Juniper Group</v>
      </c>
      <c r="D244" s="1" t="str">
        <f>TRIM(CLEAN(PROPER(peakflow_q1_2025_dirty!D246)))</f>
        <v>Enterprise Plan</v>
      </c>
      <c r="E244" s="1" t="str">
        <f>TRIM(CLEAN(PROPER(peakflow_q1_2025_dirty!E246)))</f>
        <v>Carlos Mendez</v>
      </c>
      <c r="F244" s="1" t="str">
        <f>TRIM(CLEAN(PROPER(peakflow_q1_2025_dirty!F246)))</f>
        <v>Maya Rodriguez</v>
      </c>
      <c r="G244" s="1" t="str">
        <f>TRIM(CLEAN(UPPER(peakflow_q1_2025_dirty!G246)))</f>
        <v>LATAM</v>
      </c>
      <c r="H244" s="1">
        <f>VALUE(TRIM((CLEAN(peakflow_q1_2025_dirty!H246))))</f>
        <v>1</v>
      </c>
      <c r="I244" s="8">
        <f>VALUE(SUBSTITUTE(peakflow_q1_2025_dirty!I246,".","," ))</f>
        <v>1360.14</v>
      </c>
      <c r="J244" s="8">
        <f t="shared" si="1"/>
        <v>1360.14</v>
      </c>
      <c r="K244" s="1" t="str">
        <f t="shared" si="2"/>
        <v>März</v>
      </c>
      <c r="M244" s="1" t="str">
        <f t="shared" si="3"/>
        <v>#N/A</v>
      </c>
      <c r="N244" s="1" t="str">
        <f t="shared" si="4"/>
        <v>#N/A</v>
      </c>
      <c r="O244" s="1" t="str">
        <f t="shared" si="5"/>
        <v>#N/A</v>
      </c>
      <c r="P244" s="1" t="str">
        <f t="shared" si="6"/>
        <v>#N/A</v>
      </c>
      <c r="Q244" s="1" t="str">
        <f t="shared" si="7"/>
        <v>#N/A</v>
      </c>
      <c r="R244" s="1" t="str">
        <f t="shared" si="8"/>
        <v>#N/A</v>
      </c>
      <c r="S244" s="1">
        <f t="shared" si="9"/>
        <v>1</v>
      </c>
      <c r="T244" s="8">
        <f t="shared" si="10"/>
        <v>1360.14</v>
      </c>
      <c r="U244" s="1" t="str">
        <f t="shared" si="11"/>
        <v>#N/A</v>
      </c>
      <c r="V244" s="1" t="str">
        <f t="shared" si="12"/>
        <v>#N/A</v>
      </c>
      <c r="W244" s="1" t="str">
        <f t="shared" si="13"/>
        <v>#N/A</v>
      </c>
      <c r="X244" s="1" t="str">
        <f t="shared" si="14"/>
        <v>#N/A</v>
      </c>
    </row>
    <row r="245">
      <c r="A245" s="1" t="str">
        <f>TRIM(CLEAN(PROPER(peakflow_q1_2025_dirty!A247)))</f>
        <v>D-1168</v>
      </c>
      <c r="B245" s="10">
        <f>DATEVALUE(TRIM(CLEAN(peakflow_q1_2025_dirty!B247)))</f>
        <v>45744</v>
      </c>
      <c r="C245" s="1" t="str">
        <f>TRIM(CLEAN(PROPER(peakflow_q1_2025_dirty!C247)))</f>
        <v>Iris Co</v>
      </c>
      <c r="D245" s="1" t="str">
        <f>TRIM(CLEAN(PROPER(peakflow_q1_2025_dirty!D247)))</f>
        <v>Pro Plan</v>
      </c>
      <c r="E245" s="1" t="str">
        <f>TRIM(CLEAN(PROPER(peakflow_q1_2025_dirty!E247)))</f>
        <v>Nina Petrov</v>
      </c>
      <c r="F245" s="1" t="str">
        <f>TRIM(CLEAN(PROPER(peakflow_q1_2025_dirty!F247)))</f>
        <v>Lukas Becker</v>
      </c>
      <c r="G245" s="1" t="str">
        <f>TRIM(CLEAN(UPPER(peakflow_q1_2025_dirty!G247)))</f>
        <v>LATAM</v>
      </c>
      <c r="H245" s="1">
        <f>VALUE(TRIM((CLEAN(peakflow_q1_2025_dirty!H247))))</f>
        <v>50</v>
      </c>
      <c r="I245" s="8">
        <f>VALUE(SUBSTITUTE(peakflow_q1_2025_dirty!I247,".","," ))</f>
        <v>201.51</v>
      </c>
      <c r="J245" s="8">
        <f t="shared" si="1"/>
        <v>10075.5</v>
      </c>
      <c r="K245" s="1" t="str">
        <f t="shared" si="2"/>
        <v>März</v>
      </c>
      <c r="M245" s="1" t="str">
        <f t="shared" si="3"/>
        <v>#N/A</v>
      </c>
      <c r="N245" s="1" t="str">
        <f t="shared" si="4"/>
        <v>#N/A</v>
      </c>
      <c r="O245" s="1" t="str">
        <f t="shared" si="5"/>
        <v>#N/A</v>
      </c>
      <c r="P245" s="1" t="str">
        <f t="shared" si="6"/>
        <v>#N/A</v>
      </c>
      <c r="Q245" s="1" t="str">
        <f t="shared" si="7"/>
        <v>#N/A</v>
      </c>
      <c r="R245" s="1" t="str">
        <f t="shared" si="8"/>
        <v>#N/A</v>
      </c>
      <c r="S245" s="1" t="str">
        <f t="shared" si="9"/>
        <v>#N/A</v>
      </c>
      <c r="T245" s="1" t="str">
        <f t="shared" si="10"/>
        <v>#N/A</v>
      </c>
      <c r="U245" s="1">
        <f t="shared" si="11"/>
        <v>50</v>
      </c>
      <c r="V245" s="8">
        <f t="shared" si="12"/>
        <v>201.51</v>
      </c>
      <c r="W245" s="1" t="str">
        <f t="shared" si="13"/>
        <v>#N/A</v>
      </c>
      <c r="X245" s="1" t="str">
        <f t="shared" si="14"/>
        <v>#N/A</v>
      </c>
    </row>
    <row r="246">
      <c r="A246" s="1" t="str">
        <f>TRIM(CLEAN(PROPER(peakflow_q1_2025_dirty!A248)))</f>
        <v>D-1186</v>
      </c>
      <c r="B246" s="10">
        <f>DATEVALUE(TRIM(CLEAN(peakflow_q1_2025_dirty!B248)))</f>
        <v>45744</v>
      </c>
      <c r="C246" s="1" t="str">
        <f>TRIM(CLEAN(PROPER(peakflow_q1_2025_dirty!C248)))</f>
        <v>Lattice Co</v>
      </c>
      <c r="D246" s="1" t="str">
        <f>TRIM(CLEAN(PROPER(peakflow_q1_2025_dirty!D248)))</f>
        <v>Starter Plan</v>
      </c>
      <c r="E246" s="1" t="str">
        <f>TRIM(CLEAN(PROPER(peakflow_q1_2025_dirty!E248)))</f>
        <v>Priya Patel</v>
      </c>
      <c r="F246" s="1" t="str">
        <f>TRIM(CLEAN(PROPER(peakflow_q1_2025_dirty!F248)))</f>
        <v>Maya Rodriguez</v>
      </c>
      <c r="G246" s="1" t="str">
        <f>TRIM(CLEAN(UPPER(peakflow_q1_2025_dirty!G248)))</f>
        <v>APAC</v>
      </c>
      <c r="H246" s="1">
        <f>VALUE(TRIM((CLEAN(peakflow_q1_2025_dirty!H248))))</f>
        <v>1</v>
      </c>
      <c r="I246" s="8">
        <f>VALUE(SUBSTITUTE(peakflow_q1_2025_dirty!I248,".","," ))</f>
        <v>59.63</v>
      </c>
      <c r="J246" s="8">
        <f t="shared" si="1"/>
        <v>59.63</v>
      </c>
      <c r="K246" s="1" t="str">
        <f t="shared" si="2"/>
        <v>März</v>
      </c>
      <c r="M246" s="1" t="str">
        <f t="shared" si="3"/>
        <v>#N/A</v>
      </c>
      <c r="N246" s="1" t="str">
        <f t="shared" si="4"/>
        <v>#N/A</v>
      </c>
      <c r="O246" s="1" t="str">
        <f t="shared" si="5"/>
        <v>#N/A</v>
      </c>
      <c r="P246" s="1" t="str">
        <f t="shared" si="6"/>
        <v>#N/A</v>
      </c>
      <c r="Q246" s="1" t="str">
        <f t="shared" si="7"/>
        <v>#N/A</v>
      </c>
      <c r="R246" s="1" t="str">
        <f t="shared" si="8"/>
        <v>#N/A</v>
      </c>
      <c r="S246" s="1" t="str">
        <f t="shared" si="9"/>
        <v>#N/A</v>
      </c>
      <c r="T246" s="1" t="str">
        <f t="shared" si="10"/>
        <v>#N/A</v>
      </c>
      <c r="U246" s="1" t="str">
        <f t="shared" si="11"/>
        <v>#N/A</v>
      </c>
      <c r="V246" s="1" t="str">
        <f t="shared" si="12"/>
        <v>#N/A</v>
      </c>
      <c r="W246" s="1">
        <f t="shared" si="13"/>
        <v>1</v>
      </c>
      <c r="X246" s="8">
        <f t="shared" si="14"/>
        <v>59.63</v>
      </c>
    </row>
    <row r="247">
      <c r="A247" s="1" t="str">
        <f>TRIM(CLEAN(PROPER(peakflow_q1_2025_dirty!A249)))</f>
        <v>D-1225</v>
      </c>
      <c r="B247" s="10">
        <f>DATEVALUE(TRIM(CLEAN(peakflow_q1_2025_dirty!B249)))</f>
        <v>45744</v>
      </c>
      <c r="C247" s="1" t="str">
        <f>TRIM(CLEAN(PROPER(peakflow_q1_2025_dirty!C249)))</f>
        <v>Kestrel Co</v>
      </c>
      <c r="D247" s="1" t="str">
        <f>TRIM(CLEAN(PROPER(peakflow_q1_2025_dirty!D249)))</f>
        <v>Starter Plan</v>
      </c>
      <c r="E247" s="1" t="str">
        <f>TRIM(CLEAN(PROPER(peakflow_q1_2025_dirty!E249)))</f>
        <v>David Kim</v>
      </c>
      <c r="F247" s="1" t="str">
        <f>TRIM(CLEAN(PROPER(peakflow_q1_2025_dirty!F249)))</f>
        <v>Sarah Chen</v>
      </c>
      <c r="G247" s="1" t="str">
        <f>TRIM(CLEAN(UPPER(peakflow_q1_2025_dirty!G249)))</f>
        <v>EMEA</v>
      </c>
      <c r="H247" s="1">
        <f>VALUE(TRIM((CLEAN(peakflow_q1_2025_dirty!H249))))</f>
        <v>1</v>
      </c>
      <c r="I247" s="8">
        <f>VALUE(SUBSTITUTE(peakflow_q1_2025_dirty!I249,".","," ))</f>
        <v>78.24</v>
      </c>
      <c r="J247" s="8">
        <f t="shared" si="1"/>
        <v>78.24</v>
      </c>
      <c r="K247" s="1" t="str">
        <f t="shared" si="2"/>
        <v>März</v>
      </c>
      <c r="M247" s="1" t="str">
        <f t="shared" si="3"/>
        <v>#N/A</v>
      </c>
      <c r="N247" s="1" t="str">
        <f t="shared" si="4"/>
        <v>#N/A</v>
      </c>
      <c r="O247" s="1" t="str">
        <f t="shared" si="5"/>
        <v>#N/A</v>
      </c>
      <c r="P247" s="1" t="str">
        <f t="shared" si="6"/>
        <v>#N/A</v>
      </c>
      <c r="Q247" s="1" t="str">
        <f t="shared" si="7"/>
        <v>#N/A</v>
      </c>
      <c r="R247" s="1" t="str">
        <f t="shared" si="8"/>
        <v>#N/A</v>
      </c>
      <c r="S247" s="1" t="str">
        <f t="shared" si="9"/>
        <v>#N/A</v>
      </c>
      <c r="T247" s="1" t="str">
        <f t="shared" si="10"/>
        <v>#N/A</v>
      </c>
      <c r="U247" s="1" t="str">
        <f t="shared" si="11"/>
        <v>#N/A</v>
      </c>
      <c r="V247" s="1" t="str">
        <f t="shared" si="12"/>
        <v>#N/A</v>
      </c>
      <c r="W247" s="1">
        <f t="shared" si="13"/>
        <v>1</v>
      </c>
      <c r="X247" s="8">
        <f t="shared" si="14"/>
        <v>78.24</v>
      </c>
    </row>
    <row r="248">
      <c r="A248" s="1" t="str">
        <f>TRIM(CLEAN(PROPER(peakflow_q1_2025_dirty!A250)))</f>
        <v>D-1227</v>
      </c>
      <c r="B248" s="10">
        <f>DATEVALUE(TRIM(CLEAN(peakflow_q1_2025_dirty!B250)))</f>
        <v>45745</v>
      </c>
      <c r="C248" s="1" t="str">
        <f>TRIM(CLEAN(PROPER(peakflow_q1_2025_dirty!C250)))</f>
        <v>Cascade Group</v>
      </c>
      <c r="D248" s="1" t="str">
        <f>TRIM(CLEAN(PROPER(peakflow_q1_2025_dirty!D250)))</f>
        <v>Starter Plan</v>
      </c>
      <c r="E248" s="1" t="str">
        <f>TRIM(CLEAN(PROPER(peakflow_q1_2025_dirty!E250)))</f>
        <v>Nina Petrov</v>
      </c>
      <c r="F248" s="1" t="str">
        <f>TRIM(CLEAN(PROPER(peakflow_q1_2025_dirty!F250)))</f>
        <v>Lukas Becker</v>
      </c>
      <c r="G248" s="1" t="str">
        <f>TRIM(CLEAN(UPPER(peakflow_q1_2025_dirty!G250)))</f>
        <v>LATAM</v>
      </c>
      <c r="H248" s="1">
        <f>VALUE(TRIM((CLEAN(peakflow_q1_2025_dirty!H250))))</f>
        <v>2</v>
      </c>
      <c r="I248" s="8">
        <f>VALUE(SUBSTITUTE(peakflow_q1_2025_dirty!I250,".","," ))</f>
        <v>63.35</v>
      </c>
      <c r="J248" s="8">
        <f t="shared" si="1"/>
        <v>126.7</v>
      </c>
      <c r="K248" s="1" t="str">
        <f t="shared" si="2"/>
        <v>März</v>
      </c>
      <c r="M248" s="1" t="str">
        <f t="shared" si="3"/>
        <v>#N/A</v>
      </c>
      <c r="N248" s="1" t="str">
        <f t="shared" si="4"/>
        <v>#N/A</v>
      </c>
      <c r="O248" s="1" t="str">
        <f t="shared" si="5"/>
        <v>#N/A</v>
      </c>
      <c r="P248" s="1" t="str">
        <f t="shared" si="6"/>
        <v>#N/A</v>
      </c>
      <c r="Q248" s="1" t="str">
        <f t="shared" si="7"/>
        <v>#N/A</v>
      </c>
      <c r="R248" s="1" t="str">
        <f t="shared" si="8"/>
        <v>#N/A</v>
      </c>
      <c r="S248" s="1" t="str">
        <f t="shared" si="9"/>
        <v>#N/A</v>
      </c>
      <c r="T248" s="1" t="str">
        <f t="shared" si="10"/>
        <v>#N/A</v>
      </c>
      <c r="U248" s="1" t="str">
        <f t="shared" si="11"/>
        <v>#N/A</v>
      </c>
      <c r="V248" s="1" t="str">
        <f t="shared" si="12"/>
        <v>#N/A</v>
      </c>
      <c r="W248" s="1">
        <f t="shared" si="13"/>
        <v>2</v>
      </c>
      <c r="X248" s="8">
        <f t="shared" si="14"/>
        <v>63.35</v>
      </c>
    </row>
    <row r="249">
      <c r="A249" s="1" t="str">
        <f>TRIM(CLEAN(PROPER(peakflow_q1_2025_dirty!A251)))</f>
        <v>D-1024</v>
      </c>
      <c r="B249" s="10">
        <f>DATEVALUE(TRIM(CLEAN(peakflow_q1_2025_dirty!B251)))</f>
        <v>45746</v>
      </c>
      <c r="C249" s="1" t="str">
        <f>TRIM(CLEAN(PROPER(peakflow_q1_2025_dirty!C251)))</f>
        <v>Catalyst Inc</v>
      </c>
      <c r="D249" s="1" t="str">
        <f>TRIM(CLEAN(PROPER(peakflow_q1_2025_dirty!D251)))</f>
        <v>Pro Plan</v>
      </c>
      <c r="E249" s="1" t="str">
        <f>TRIM(CLEAN(PROPER(peakflow_q1_2025_dirty!E251)))</f>
        <v>Aisha Hassan</v>
      </c>
      <c r="F249" s="1" t="str">
        <f>TRIM(CLEAN(PROPER(peakflow_q1_2025_dirty!F251)))</f>
        <v>Sarah Chen</v>
      </c>
      <c r="G249" s="1" t="str">
        <f>TRIM(CLEAN(UPPER(peakflow_q1_2025_dirty!G251)))</f>
        <v>LATAM</v>
      </c>
      <c r="H249" s="1">
        <f>VALUE(TRIM((CLEAN(peakflow_q1_2025_dirty!H251))))</f>
        <v>1</v>
      </c>
      <c r="I249" s="8">
        <f>VALUE(SUBSTITUTE(peakflow_q1_2025_dirty!I251,".","," ))</f>
        <v>250.06</v>
      </c>
      <c r="J249" s="8">
        <f t="shared" si="1"/>
        <v>250.06</v>
      </c>
      <c r="K249" s="1" t="str">
        <f t="shared" si="2"/>
        <v>März</v>
      </c>
      <c r="M249" s="1" t="str">
        <f t="shared" si="3"/>
        <v>#N/A</v>
      </c>
      <c r="N249" s="1" t="str">
        <f t="shared" si="4"/>
        <v>#N/A</v>
      </c>
      <c r="O249" s="1" t="str">
        <f t="shared" si="5"/>
        <v>#N/A</v>
      </c>
      <c r="P249" s="1" t="str">
        <f t="shared" si="6"/>
        <v>#N/A</v>
      </c>
      <c r="Q249" s="1" t="str">
        <f t="shared" si="7"/>
        <v>#N/A</v>
      </c>
      <c r="R249" s="1" t="str">
        <f t="shared" si="8"/>
        <v>#N/A</v>
      </c>
      <c r="S249" s="1" t="str">
        <f t="shared" si="9"/>
        <v>#N/A</v>
      </c>
      <c r="T249" s="1" t="str">
        <f t="shared" si="10"/>
        <v>#N/A</v>
      </c>
      <c r="U249" s="1">
        <f t="shared" si="11"/>
        <v>1</v>
      </c>
      <c r="V249" s="8">
        <f t="shared" si="12"/>
        <v>250.06</v>
      </c>
      <c r="W249" s="1" t="str">
        <f t="shared" si="13"/>
        <v>#N/A</v>
      </c>
      <c r="X249" s="1" t="str">
        <f t="shared" si="14"/>
        <v>#N/A</v>
      </c>
    </row>
    <row r="250">
      <c r="A250" s="1" t="str">
        <f>TRIM(CLEAN(PROPER(peakflow_q1_2025_dirty!A252)))</f>
        <v>D-1069</v>
      </c>
      <c r="B250" s="10">
        <f>DATEVALUE(TRIM(CLEAN(peakflow_q1_2025_dirty!B252)))</f>
        <v>45746</v>
      </c>
      <c r="C250" s="1" t="str">
        <f>TRIM(CLEAN(PROPER(peakflow_q1_2025_dirty!C252)))</f>
        <v>Granite Co</v>
      </c>
      <c r="D250" s="1" t="str">
        <f>TRIM(CLEAN(PROPER(peakflow_q1_2025_dirty!D252)))</f>
        <v>Business Plan</v>
      </c>
      <c r="E250" s="1" t="str">
        <f>TRIM(CLEAN(PROPER(peakflow_q1_2025_dirty!E252)))</f>
        <v>Hannah Lee</v>
      </c>
      <c r="F250" s="1" t="str">
        <f>TRIM(CLEAN(PROPER(peakflow_q1_2025_dirty!F252)))</f>
        <v>Owen Walsh</v>
      </c>
      <c r="G250" s="1" t="str">
        <f>TRIM(CLEAN(PROPER(peakflow_q1_2025_dirty!G252)))</f>
        <v>North America</v>
      </c>
      <c r="H250" s="1">
        <f>VALUE(TRIM((CLEAN(peakflow_q1_2025_dirty!H252))))</f>
        <v>1</v>
      </c>
      <c r="I250" s="8">
        <f>VALUE(SUBSTITUTE(peakflow_q1_2025_dirty!I252,".","," ))</f>
        <v>415.38</v>
      </c>
      <c r="J250" s="8">
        <f t="shared" si="1"/>
        <v>415.38</v>
      </c>
      <c r="K250" s="1" t="str">
        <f t="shared" si="2"/>
        <v>März</v>
      </c>
      <c r="M250" s="1" t="str">
        <f t="shared" si="3"/>
        <v>#N/A</v>
      </c>
      <c r="N250" s="1" t="str">
        <f t="shared" si="4"/>
        <v>#N/A</v>
      </c>
      <c r="O250" s="1" t="str">
        <f t="shared" si="5"/>
        <v>#N/A</v>
      </c>
      <c r="P250" s="1" t="str">
        <f t="shared" si="6"/>
        <v>#N/A</v>
      </c>
      <c r="Q250" s="1">
        <f t="shared" si="7"/>
        <v>1</v>
      </c>
      <c r="R250" s="8">
        <f t="shared" si="8"/>
        <v>415.38</v>
      </c>
      <c r="S250" s="1" t="str">
        <f t="shared" si="9"/>
        <v>#N/A</v>
      </c>
      <c r="T250" s="1" t="str">
        <f t="shared" si="10"/>
        <v>#N/A</v>
      </c>
      <c r="U250" s="1" t="str">
        <f t="shared" si="11"/>
        <v>#N/A</v>
      </c>
      <c r="V250" s="1" t="str">
        <f t="shared" si="12"/>
        <v>#N/A</v>
      </c>
      <c r="W250" s="1" t="str">
        <f t="shared" si="13"/>
        <v>#N/A</v>
      </c>
      <c r="X250" s="1" t="str">
        <f t="shared" si="14"/>
        <v>#N/A</v>
      </c>
    </row>
    <row r="251">
      <c r="A251" s="1" t="str">
        <f>TRIM(CLEAN(PROPER(peakflow_q1_2025_dirty!A253)))</f>
        <v>D-1080</v>
      </c>
      <c r="B251" s="10">
        <f>DATEVALUE(TRIM(CLEAN(peakflow_q1_2025_dirty!B253)))</f>
        <v>45746</v>
      </c>
      <c r="C251" s="1" t="str">
        <f>TRIM(CLEAN(PROPER(peakflow_q1_2025_dirty!C253)))</f>
        <v>Verdant Inc</v>
      </c>
      <c r="D251" s="1" t="str">
        <f>TRIM(CLEAN(PROPER(peakflow_q1_2025_dirty!D253)))</f>
        <v>Enterprise Plan</v>
      </c>
      <c r="E251" s="1" t="str">
        <f>TRIM(CLEAN(PROPER(peakflow_q1_2025_dirty!E253)))</f>
        <v>Marcus Johnson</v>
      </c>
      <c r="F251" s="1" t="str">
        <f>TRIM(CLEAN(PROPER(peakflow_q1_2025_dirty!F253)))</f>
        <v>Sarah Chen</v>
      </c>
      <c r="G251" s="1" t="str">
        <f>TRIM(CLEAN(UPPER(peakflow_q1_2025_dirty!G253)))</f>
        <v>LATAM</v>
      </c>
      <c r="H251" s="1">
        <f>VALUE(TRIM((CLEAN(peakflow_q1_2025_dirty!H253))))</f>
        <v>1</v>
      </c>
      <c r="I251" s="8">
        <f>VALUE(SUBSTITUTE(peakflow_q1_2025_dirty!I253,".","," ))</f>
        <v>967.42</v>
      </c>
      <c r="J251" s="8">
        <f t="shared" si="1"/>
        <v>967.42</v>
      </c>
      <c r="K251" s="1" t="str">
        <f t="shared" si="2"/>
        <v>März</v>
      </c>
      <c r="M251" s="1" t="str">
        <f t="shared" si="3"/>
        <v>#N/A</v>
      </c>
      <c r="N251" s="1" t="str">
        <f t="shared" si="4"/>
        <v>#N/A</v>
      </c>
      <c r="O251" s="1" t="str">
        <f t="shared" si="5"/>
        <v>#N/A</v>
      </c>
      <c r="P251" s="1" t="str">
        <f t="shared" si="6"/>
        <v>#N/A</v>
      </c>
      <c r="Q251" s="1" t="str">
        <f t="shared" si="7"/>
        <v>#N/A</v>
      </c>
      <c r="R251" s="1" t="str">
        <f t="shared" si="8"/>
        <v>#N/A</v>
      </c>
      <c r="S251" s="1">
        <f t="shared" si="9"/>
        <v>1</v>
      </c>
      <c r="T251" s="8">
        <f t="shared" si="10"/>
        <v>967.42</v>
      </c>
      <c r="U251" s="1" t="str">
        <f t="shared" si="11"/>
        <v>#N/A</v>
      </c>
      <c r="V251" s="1" t="str">
        <f t="shared" si="12"/>
        <v>#N/A</v>
      </c>
      <c r="W251" s="1" t="str">
        <f t="shared" si="13"/>
        <v>#N/A</v>
      </c>
      <c r="X251" s="1" t="str">
        <f t="shared" si="14"/>
        <v>#N/A</v>
      </c>
    </row>
    <row r="252">
      <c r="A252" s="1" t="str">
        <f>TRIM(CLEAN(PROPER(peakflow_q1_2025_dirty!A254)))</f>
        <v>D-1120</v>
      </c>
      <c r="B252" s="10">
        <f>DATEVALUE(TRIM(CLEAN(peakflow_q1_2025_dirty!B254)))</f>
        <v>45746</v>
      </c>
      <c r="C252" s="1" t="str">
        <f>TRIM(CLEAN(PROPER(peakflow_q1_2025_dirty!C254)))</f>
        <v>Iris Co</v>
      </c>
      <c r="D252" s="1" t="str">
        <f>TRIM(CLEAN(PROPER(peakflow_q1_2025_dirty!D254)))</f>
        <v>Enterprise Plan</v>
      </c>
      <c r="E252" s="1" t="str">
        <f>TRIM(CLEAN(PROPER(peakflow_q1_2025_dirty!E254)))</f>
        <v>Sophie Laurent</v>
      </c>
      <c r="F252" s="1" t="str">
        <f>TRIM(CLEAN(PROPER(peakflow_q1_2025_dirty!F254)))</f>
        <v>Maya Rodriguez</v>
      </c>
      <c r="G252" s="1" t="str">
        <f>TRIM(CLEAN(UPPER(peakflow_q1_2025_dirty!G254)))</f>
        <v>EMEA</v>
      </c>
      <c r="H252" s="1">
        <f>VALUE(TRIM((CLEAN(peakflow_q1_2025_dirty!H254))))</f>
        <v>1</v>
      </c>
      <c r="I252" s="8">
        <f>VALUE(SUBSTITUTE(peakflow_q1_2025_dirty!I254,".","," ))</f>
        <v>958.86</v>
      </c>
      <c r="J252" s="8">
        <f t="shared" si="1"/>
        <v>958.86</v>
      </c>
      <c r="K252" s="1" t="str">
        <f t="shared" si="2"/>
        <v>März</v>
      </c>
      <c r="M252" s="1" t="str">
        <f t="shared" si="3"/>
        <v>#N/A</v>
      </c>
      <c r="N252" s="1" t="str">
        <f t="shared" si="4"/>
        <v>#N/A</v>
      </c>
      <c r="O252" s="1" t="str">
        <f t="shared" si="5"/>
        <v>#N/A</v>
      </c>
      <c r="P252" s="1" t="str">
        <f t="shared" si="6"/>
        <v>#N/A</v>
      </c>
      <c r="Q252" s="1" t="str">
        <f t="shared" si="7"/>
        <v>#N/A</v>
      </c>
      <c r="R252" s="1" t="str">
        <f t="shared" si="8"/>
        <v>#N/A</v>
      </c>
      <c r="S252" s="1">
        <f t="shared" si="9"/>
        <v>1</v>
      </c>
      <c r="T252" s="8">
        <f t="shared" si="10"/>
        <v>958.86</v>
      </c>
      <c r="U252" s="1" t="str">
        <f t="shared" si="11"/>
        <v>#N/A</v>
      </c>
      <c r="V252" s="1" t="str">
        <f t="shared" si="12"/>
        <v>#N/A</v>
      </c>
      <c r="W252" s="1" t="str">
        <f t="shared" si="13"/>
        <v>#N/A</v>
      </c>
      <c r="X252" s="1" t="str">
        <f t="shared" si="14"/>
        <v>#N/A</v>
      </c>
    </row>
    <row r="253">
      <c r="A253" s="1" t="str">
        <f>TRIM(CLEAN(PROPER(peakflow_q1_2025_dirty!A255)))</f>
        <v>D-1185</v>
      </c>
      <c r="B253" s="10">
        <f>DATEVALUE(TRIM(CLEAN(peakflow_q1_2025_dirty!B255)))</f>
        <v>45746</v>
      </c>
      <c r="C253" s="1" t="str">
        <f>TRIM(CLEAN(PROPER(peakflow_q1_2025_dirty!C255)))</f>
        <v>Iris Co</v>
      </c>
      <c r="D253" s="1" t="str">
        <f>TRIM(CLEAN(PROPER(peakflow_q1_2025_dirty!D255)))</f>
        <v>Starter Plan</v>
      </c>
      <c r="E253" s="1" t="str">
        <f>TRIM(CLEAN(PROPER(peakflow_q1_2025_dirty!E255)))</f>
        <v>Marcus Johnson</v>
      </c>
      <c r="F253" s="1" t="str">
        <f>TRIM(CLEAN(PROPER(peakflow_q1_2025_dirty!F255)))</f>
        <v>Sarah Chen</v>
      </c>
      <c r="G253" s="1" t="str">
        <f>TRIM(CLEAN(UPPER(peakflow_q1_2025_dirty!G255)))</f>
        <v>EMEA</v>
      </c>
      <c r="H253" s="1">
        <f>VALUE(TRIM((CLEAN(peakflow_q1_2025_dirty!H255))))</f>
        <v>2</v>
      </c>
      <c r="I253" s="8">
        <f>VALUE(SUBSTITUTE(peakflow_q1_2025_dirty!I255,".","," ))</f>
        <v>75.29</v>
      </c>
      <c r="J253" s="8">
        <f t="shared" si="1"/>
        <v>150.58</v>
      </c>
      <c r="K253" s="1" t="str">
        <f t="shared" si="2"/>
        <v>März</v>
      </c>
      <c r="M253" s="1" t="str">
        <f t="shared" si="3"/>
        <v>#N/A</v>
      </c>
      <c r="N253" s="1" t="str">
        <f t="shared" si="4"/>
        <v>#N/A</v>
      </c>
      <c r="O253" s="1" t="str">
        <f t="shared" si="5"/>
        <v>#N/A</v>
      </c>
      <c r="P253" s="1" t="str">
        <f t="shared" si="6"/>
        <v>#N/A</v>
      </c>
      <c r="Q253" s="1" t="str">
        <f t="shared" si="7"/>
        <v>#N/A</v>
      </c>
      <c r="R253" s="1" t="str">
        <f t="shared" si="8"/>
        <v>#N/A</v>
      </c>
      <c r="S253" s="1" t="str">
        <f t="shared" si="9"/>
        <v>#N/A</v>
      </c>
      <c r="T253" s="1" t="str">
        <f t="shared" si="10"/>
        <v>#N/A</v>
      </c>
      <c r="U253" s="1" t="str">
        <f t="shared" si="11"/>
        <v>#N/A</v>
      </c>
      <c r="V253" s="1" t="str">
        <f t="shared" si="12"/>
        <v>#N/A</v>
      </c>
      <c r="W253" s="1">
        <f t="shared" si="13"/>
        <v>2</v>
      </c>
      <c r="X253" s="8">
        <f t="shared" si="14"/>
        <v>75.29</v>
      </c>
    </row>
    <row r="254">
      <c r="A254" s="3">
        <f>IFERROR(__xludf.DUMMYFUNCTION("COUNTUNIQUE(A4:A253)"),250.0)</f>
        <v>250</v>
      </c>
      <c r="B254" s="1" t="str">
        <f>TRIM(CLEAN(PROPER(peakflow_q1_2025_dirty!B256)))</f>
        <v/>
      </c>
      <c r="C254" s="1" t="str">
        <f>TRIM(CLEAN(PROPER(peakflow_q1_2025_dirty!C256)))</f>
        <v/>
      </c>
      <c r="D254" s="1" t="str">
        <f>TRIM(CLEAN(PROPER(peakflow_q1_2025_dirty!D256)))</f>
        <v/>
      </c>
      <c r="E254" s="1" t="str">
        <f>TRIM(CLEAN(PROPER(peakflow_q1_2025_dirty!E256)))</f>
        <v/>
      </c>
      <c r="F254" s="1" t="str">
        <f>TRIM(CLEAN(PROPER(peakflow_q1_2025_dirty!F256)))</f>
        <v/>
      </c>
      <c r="J254" s="33">
        <f>SUM(J4:J253)</f>
        <v>364634.55</v>
      </c>
    </row>
    <row r="255">
      <c r="A255" s="1" t="str">
        <f>TRIM(CLEAN(PROPER(peakflow_q1_2025_dirty!A257)))</f>
        <v/>
      </c>
      <c r="B255" s="1" t="str">
        <f>TRIM(CLEAN(PROPER(peakflow_q1_2025_dirty!B257)))</f>
        <v/>
      </c>
      <c r="C255" s="1" t="str">
        <f>TRIM(CLEAN(PROPER(peakflow_q1_2025_dirty!C257)))</f>
        <v/>
      </c>
      <c r="D255" s="1" t="str">
        <f>TRIM(CLEAN(PROPER(peakflow_q1_2025_dirty!D257)))</f>
        <v/>
      </c>
      <c r="E255" s="1" t="str">
        <f>TRIM(CLEAN(PROPER(peakflow_q1_2025_dirty!E257)))</f>
        <v/>
      </c>
      <c r="F255" s="1" t="str">
        <f>TRIM(CLEAN(PROPER(peakflow_q1_2025_dirty!F257)))</f>
        <v/>
      </c>
    </row>
    <row r="256">
      <c r="A256" s="1" t="str">
        <f>TRIM(CLEAN(PROPER(peakflow_q1_2025_dirty!A258)))</f>
        <v/>
      </c>
    </row>
    <row r="257">
      <c r="A257" s="1" t="str">
        <f>TRIM(CLEAN(PROPER(peakflow_q1_2025_dirty!A259)))</f>
        <v/>
      </c>
    </row>
    <row r="258">
      <c r="A258" s="1" t="str">
        <f>TRIM(CLEAN(PROPER(peakflow_q1_2025_dirty!A260)))</f>
        <v/>
      </c>
    </row>
    <row r="259">
      <c r="A259" s="1" t="str">
        <f>TRIM(CLEAN(PROPER(peakflow_q1_2025_dirty!A261)))</f>
        <v/>
      </c>
    </row>
    <row r="260">
      <c r="A260" s="1" t="str">
        <f>TRIM(CLEAN(PROPER(peakflow_q1_2025_dirty!A262)))</f>
        <v/>
      </c>
    </row>
    <row r="261">
      <c r="A261" s="1" t="str">
        <f>TRIM(CLEAN(PROPER(peakflow_q1_2025_dirty!A263)))</f>
        <v/>
      </c>
    </row>
    <row r="262">
      <c r="A262" s="1" t="str">
        <f>TRIM(CLEAN(PROPER(peakflow_q1_2025_dirty!A266)))</f>
        <v/>
      </c>
    </row>
    <row r="263">
      <c r="A263" s="1" t="str">
        <f>TRIM(CLEAN(PROPER(peakflow_q1_2025_dirty!A267)))</f>
        <v/>
      </c>
    </row>
    <row r="264">
      <c r="A264" s="1" t="str">
        <f>TRIM(CLEAN(PROPER(peakflow_q1_2025_dirty!A268)))</f>
        <v/>
      </c>
    </row>
    <row r="265">
      <c r="A265" s="1" t="str">
        <f>TRIM(CLEAN(PROPER(peakflow_q1_2025_dirty!A269)))</f>
        <v/>
      </c>
    </row>
    <row r="266">
      <c r="A266" s="1" t="str">
        <f>TRIM(CLEAN(PROPER(peakflow_q1_2025_dirty!A270)))</f>
        <v/>
      </c>
    </row>
    <row r="267">
      <c r="A267" s="1" t="str">
        <f>TRIM(CLEAN(PROPER(peakflow_q1_2025_dirty!A271)))</f>
        <v/>
      </c>
    </row>
    <row r="268">
      <c r="A268" s="1" t="str">
        <f>TRIM(CLEAN(PROPER(peakflow_q1_2025_dirty!A272)))</f>
        <v/>
      </c>
    </row>
    <row r="269">
      <c r="A269" s="1" t="str">
        <f>TRIM(CLEAN(PROPER(peakflow_q1_2025_dirty!A273)))</f>
        <v/>
      </c>
    </row>
    <row r="270">
      <c r="A270" s="1" t="str">
        <f>TRIM(CLEAN(PROPER(peakflow_q1_2025_dirty!A274)))</f>
        <v/>
      </c>
    </row>
    <row r="271">
      <c r="A271" s="1" t="str">
        <f>TRIM(CLEAN(PROPER(peakflow_q1_2025_dirty!A275)))</f>
        <v/>
      </c>
    </row>
    <row r="272">
      <c r="A272" s="1" t="str">
        <f>TRIM(CLEAN(PROPER(peakflow_q1_2025_dirty!A276)))</f>
        <v/>
      </c>
    </row>
    <row r="273">
      <c r="A273" s="1" t="str">
        <f>TRIM(CLEAN(PROPER(peakflow_q1_2025_dirty!A277)))</f>
        <v/>
      </c>
    </row>
    <row r="274">
      <c r="A274" s="1" t="str">
        <f>TRIM(CLEAN(PROPER(peakflow_q1_2025_dirty!A278)))</f>
        <v/>
      </c>
    </row>
    <row r="275">
      <c r="A275" s="1" t="str">
        <f>TRIM(CLEAN(PROPER(peakflow_q1_2025_dirty!A279)))</f>
        <v/>
      </c>
    </row>
    <row r="276">
      <c r="A276" s="1" t="str">
        <f>TRIM(CLEAN(PROPER(peakflow_q1_2025_dirty!A280)))</f>
        <v/>
      </c>
    </row>
    <row r="277">
      <c r="A277" s="1" t="str">
        <f>TRIM(CLEAN(PROPER(peakflow_q1_2025_dirty!A281)))</f>
        <v/>
      </c>
    </row>
    <row r="278">
      <c r="A278" s="1" t="str">
        <f>TRIM(CLEAN(PROPER(peakflow_q1_2025_dirty!A282)))</f>
        <v/>
      </c>
    </row>
    <row r="279">
      <c r="A279" s="1" t="str">
        <f>TRIM(CLEAN(PROPER(peakflow_q1_2025_dirty!A283)))</f>
        <v/>
      </c>
    </row>
    <row r="280">
      <c r="A280" s="1" t="str">
        <f>TRIM(CLEAN(PROPER(peakflow_q1_2025_dirty!A284)))</f>
        <v/>
      </c>
    </row>
    <row r="281">
      <c r="A281" s="1" t="str">
        <f>TRIM(CLEAN(PROPER(peakflow_q1_2025_dirty!A285)))</f>
        <v/>
      </c>
    </row>
    <row r="282">
      <c r="A282" s="1" t="str">
        <f>TRIM(CLEAN(PROPER(peakflow_q1_2025_dirty!A286)))</f>
        <v/>
      </c>
    </row>
    <row r="283">
      <c r="A283" s="1" t="str">
        <f>TRIM(CLEAN(PROPER(peakflow_q1_2025_dirty!A287)))</f>
        <v/>
      </c>
    </row>
    <row r="284">
      <c r="A284" s="1" t="str">
        <f>TRIM(CLEAN(PROPER(peakflow_q1_2025_dirty!A288)))</f>
        <v/>
      </c>
    </row>
    <row r="285">
      <c r="A285" s="1" t="str">
        <f>TRIM(CLEAN(PROPER(peakflow_q1_2025_dirty!A289)))</f>
        <v/>
      </c>
    </row>
    <row r="286">
      <c r="A286" s="1" t="str">
        <f>TRIM(CLEAN(PROPER(peakflow_q1_2025_dirty!A290)))</f>
        <v/>
      </c>
    </row>
    <row r="287">
      <c r="A287" s="1" t="str">
        <f>TRIM(CLEAN(PROPER(peakflow_q1_2025_dirty!A291)))</f>
        <v/>
      </c>
    </row>
    <row r="288">
      <c r="A288" s="1" t="str">
        <f>TRIM(CLEAN(PROPER(peakflow_q1_2025_dirty!A292)))</f>
        <v/>
      </c>
    </row>
    <row r="289">
      <c r="A289" s="1" t="str">
        <f>TRIM(CLEAN(PROPER(peakflow_q1_2025_dirty!A293)))</f>
        <v/>
      </c>
    </row>
    <row r="290">
      <c r="A290" s="1" t="str">
        <f>TRIM(CLEAN(PROPER(peakflow_q1_2025_dirty!A294)))</f>
        <v/>
      </c>
    </row>
    <row r="291">
      <c r="A291" s="1" t="str">
        <f>TRIM(CLEAN(PROPER(peakflow_q1_2025_dirty!A295)))</f>
        <v/>
      </c>
    </row>
    <row r="292">
      <c r="A292" s="1" t="str">
        <f>TRIM(CLEAN(PROPER(peakflow_q1_2025_dirty!A296)))</f>
        <v/>
      </c>
    </row>
    <row r="293">
      <c r="A293" s="1" t="str">
        <f>TRIM(CLEAN(PROPER(peakflow_q1_2025_dirty!A297)))</f>
        <v/>
      </c>
    </row>
    <row r="294">
      <c r="A294" s="1" t="str">
        <f>TRIM(CLEAN(PROPER(peakflow_q1_2025_dirty!A298)))</f>
        <v/>
      </c>
    </row>
    <row r="295">
      <c r="A295" s="1" t="str">
        <f>TRIM(CLEAN(PROPER(peakflow_q1_2025_dirty!A299)))</f>
        <v/>
      </c>
    </row>
    <row r="296">
      <c r="A296" s="1" t="str">
        <f>TRIM(CLEAN(PROPER(peakflow_q1_2025_dirty!A300)))</f>
        <v/>
      </c>
    </row>
    <row r="297">
      <c r="A297" s="1" t="str">
        <f>TRIM(CLEAN(PROPER(peakflow_q1_2025_dirty!A301)))</f>
        <v/>
      </c>
    </row>
    <row r="298">
      <c r="A298" s="1" t="str">
        <f>TRIM(CLEAN(PROPER(peakflow_q1_2025_dirty!A302)))</f>
        <v/>
      </c>
    </row>
    <row r="299">
      <c r="A299" s="1" t="str">
        <f>TRIM(CLEAN(PROPER(peakflow_q1_2025_dirty!A303)))</f>
        <v/>
      </c>
    </row>
    <row r="300">
      <c r="A300" s="1" t="str">
        <f>TRIM(CLEAN(PROPER(peakflow_q1_2025_dirty!A304)))</f>
        <v/>
      </c>
    </row>
    <row r="301">
      <c r="A301" s="1" t="str">
        <f>TRIM(CLEAN(PROPER(peakflow_q1_2025_dirty!A305)))</f>
        <v/>
      </c>
    </row>
    <row r="302">
      <c r="A302" s="1" t="str">
        <f>TRIM(CLEAN(PROPER(peakflow_q1_2025_dirty!A306)))</f>
        <v/>
      </c>
    </row>
    <row r="303">
      <c r="A303" s="1" t="str">
        <f>TRIM(CLEAN(PROPER(peakflow_q1_2025_dirty!A307)))</f>
        <v/>
      </c>
    </row>
    <row r="304">
      <c r="A304" s="1" t="str">
        <f>TRIM(CLEAN(PROPER(peakflow_q1_2025_dirty!A308)))</f>
        <v/>
      </c>
    </row>
    <row r="305">
      <c r="A305" s="1" t="str">
        <f>TRIM(CLEAN(PROPER(peakflow_q1_2025_dirty!A309)))</f>
        <v/>
      </c>
    </row>
    <row r="306">
      <c r="A306" s="1" t="str">
        <f>TRIM(CLEAN(PROPER(peakflow_q1_2025_dirty!A310)))</f>
        <v/>
      </c>
    </row>
    <row r="307">
      <c r="A307" s="1" t="str">
        <f>TRIM(CLEAN(PROPER(peakflow_q1_2025_dirty!A311)))</f>
        <v/>
      </c>
    </row>
    <row r="308">
      <c r="A308" s="1" t="str">
        <f>TRIM(CLEAN(PROPER(peakflow_q1_2025_dirty!A312)))</f>
        <v/>
      </c>
    </row>
    <row r="309">
      <c r="A309" s="1" t="str">
        <f>TRIM(CLEAN(PROPER(peakflow_q1_2025_dirty!A313)))</f>
        <v/>
      </c>
    </row>
    <row r="310">
      <c r="A310" s="1" t="str">
        <f>TRIM(CLEAN(PROPER(peakflow_q1_2025_dirty!A314)))</f>
        <v/>
      </c>
    </row>
    <row r="311">
      <c r="A311" s="1" t="str">
        <f>TRIM(CLEAN(PROPER(peakflow_q1_2025_dirty!A315)))</f>
        <v/>
      </c>
    </row>
    <row r="312">
      <c r="A312" s="1" t="str">
        <f>TRIM(CLEAN(PROPER(peakflow_q1_2025_dirty!A316)))</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2" width="19.13"/>
    <col customWidth="1" min="3" max="3" width="18.0"/>
    <col customWidth="1" min="4" max="4" width="21.63"/>
    <col customWidth="1" min="5" max="5" width="19.0"/>
    <col customWidth="1" min="6" max="6" width="23.75"/>
    <col customWidth="1" min="7" max="7" width="20.38"/>
    <col customWidth="1" min="8" max="8" width="15.25"/>
    <col customWidth="1" min="9" max="9" width="16.75"/>
  </cols>
  <sheetData>
    <row r="1">
      <c r="A1" s="3" t="s">
        <v>5</v>
      </c>
      <c r="D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6" t="s">
        <v>37</v>
      </c>
      <c r="B3" s="7"/>
      <c r="C3" s="1"/>
      <c r="D3" s="1"/>
      <c r="E3" s="1"/>
      <c r="F3" s="1"/>
      <c r="G3" s="1"/>
      <c r="H3" s="1"/>
      <c r="I3" s="1"/>
      <c r="J3" s="1"/>
      <c r="K3" s="1"/>
      <c r="L3" s="1"/>
      <c r="M3" s="1"/>
      <c r="N3" s="1"/>
      <c r="O3" s="1"/>
      <c r="P3" s="1"/>
      <c r="Q3" s="1"/>
      <c r="R3" s="1"/>
      <c r="S3" s="1"/>
      <c r="T3" s="1"/>
      <c r="U3" s="1"/>
      <c r="V3" s="1"/>
      <c r="W3" s="1"/>
      <c r="X3" s="1"/>
      <c r="Y3" s="1"/>
      <c r="Z3" s="1"/>
    </row>
    <row r="4">
      <c r="A4" s="1" t="s">
        <v>49</v>
      </c>
      <c r="B4" s="7">
        <f>COUNTA('Geschäfte'!A4:A253)</f>
        <v>250</v>
      </c>
      <c r="C4" s="1"/>
      <c r="D4" s="1"/>
      <c r="E4" s="1"/>
      <c r="F4" s="1"/>
      <c r="G4" s="1"/>
      <c r="H4" s="1"/>
      <c r="I4" s="1"/>
      <c r="J4" s="1"/>
      <c r="K4" s="1"/>
      <c r="L4" s="1"/>
      <c r="M4" s="1"/>
      <c r="N4" s="1"/>
      <c r="O4" s="1"/>
      <c r="P4" s="1"/>
      <c r="Q4" s="1"/>
      <c r="R4" s="1"/>
      <c r="S4" s="1"/>
      <c r="T4" s="1"/>
      <c r="U4" s="1"/>
      <c r="V4" s="1"/>
      <c r="W4" s="1"/>
      <c r="X4" s="1"/>
      <c r="Y4" s="1"/>
      <c r="Z4" s="1"/>
    </row>
    <row r="5">
      <c r="A5" s="1" t="s">
        <v>91</v>
      </c>
      <c r="B5" s="8">
        <f>SUM('Geschäfte'!J4:J253)</f>
        <v>364634.55</v>
      </c>
      <c r="C5" s="1"/>
      <c r="D5" s="1"/>
      <c r="E5" s="8"/>
      <c r="F5" s="1"/>
      <c r="G5" s="8"/>
      <c r="H5" s="1"/>
      <c r="I5" s="1"/>
      <c r="J5" s="1"/>
      <c r="K5" s="1"/>
      <c r="L5" s="1"/>
      <c r="M5" s="1"/>
      <c r="N5" s="1"/>
      <c r="O5" s="1"/>
      <c r="P5" s="1"/>
      <c r="Q5" s="1"/>
      <c r="R5" s="1"/>
      <c r="S5" s="1"/>
      <c r="T5" s="1"/>
      <c r="U5" s="1"/>
      <c r="V5" s="1"/>
      <c r="W5" s="1"/>
      <c r="X5" s="1"/>
      <c r="Y5" s="1"/>
      <c r="Z5" s="1"/>
    </row>
    <row r="6">
      <c r="A6" s="1" t="s">
        <v>104</v>
      </c>
      <c r="B6" s="8">
        <f>AVERAGE('Geschäfte'!J4:J253)</f>
        <v>1458.5382</v>
      </c>
      <c r="C6" s="1"/>
      <c r="D6" s="1"/>
      <c r="E6" s="8"/>
      <c r="F6" s="1"/>
      <c r="G6" s="8"/>
      <c r="H6" s="1"/>
      <c r="I6" s="1"/>
      <c r="J6" s="1"/>
      <c r="K6" s="1"/>
      <c r="L6" s="1"/>
      <c r="M6" s="1"/>
      <c r="N6" s="1"/>
      <c r="O6" s="1"/>
      <c r="P6" s="1"/>
      <c r="Q6" s="1"/>
      <c r="R6" s="1"/>
      <c r="S6" s="1"/>
      <c r="T6" s="1"/>
      <c r="U6" s="1"/>
      <c r="V6" s="1"/>
      <c r="W6" s="1"/>
      <c r="X6" s="1"/>
      <c r="Y6" s="1"/>
      <c r="Z6" s="1"/>
    </row>
    <row r="7">
      <c r="A7" s="1" t="s">
        <v>119</v>
      </c>
      <c r="B7" s="8">
        <f>MEDIAN('Geschäfte'!J4:J253)</f>
        <v>386.76</v>
      </c>
      <c r="C7" s="1"/>
      <c r="D7" s="1"/>
      <c r="E7" s="8"/>
      <c r="F7" s="1"/>
      <c r="G7" s="8"/>
      <c r="H7" s="1"/>
      <c r="I7" s="1"/>
      <c r="J7" s="1"/>
      <c r="K7" s="1"/>
      <c r="L7" s="1"/>
      <c r="M7" s="1"/>
      <c r="N7" s="1"/>
      <c r="O7" s="1"/>
      <c r="P7" s="1"/>
      <c r="Q7" s="1"/>
      <c r="R7" s="1"/>
      <c r="S7" s="1"/>
      <c r="T7" s="1"/>
      <c r="U7" s="1"/>
      <c r="V7" s="1"/>
      <c r="W7" s="1"/>
      <c r="X7" s="1"/>
      <c r="Y7" s="1"/>
      <c r="Z7" s="1"/>
    </row>
    <row r="8">
      <c r="A8" s="1" t="s">
        <v>145</v>
      </c>
      <c r="B8" s="8">
        <f>MIN('Geschäfte'!J4:J253)</f>
        <v>41.17</v>
      </c>
      <c r="C8" s="1"/>
      <c r="D8" s="1"/>
      <c r="E8" s="8"/>
      <c r="F8" s="7"/>
      <c r="G8" s="8"/>
      <c r="H8" s="1"/>
      <c r="I8" s="1"/>
      <c r="J8" s="1"/>
      <c r="K8" s="1"/>
      <c r="L8" s="1"/>
      <c r="M8" s="1"/>
      <c r="N8" s="1"/>
      <c r="O8" s="1"/>
      <c r="P8" s="1"/>
      <c r="Q8" s="1"/>
      <c r="R8" s="1"/>
      <c r="S8" s="1"/>
      <c r="T8" s="1"/>
      <c r="U8" s="1"/>
      <c r="V8" s="1"/>
      <c r="W8" s="1"/>
      <c r="X8" s="1"/>
      <c r="Y8" s="1"/>
      <c r="Z8" s="1"/>
    </row>
    <row r="9">
      <c r="A9" s="1" t="s">
        <v>151</v>
      </c>
      <c r="B9" s="8">
        <f>MAX('Geschäfte'!J4:J253)</f>
        <v>46616</v>
      </c>
      <c r="C9" s="1"/>
      <c r="D9" s="1"/>
      <c r="E9" s="1"/>
      <c r="F9" s="1"/>
      <c r="G9" s="1"/>
      <c r="H9" s="1"/>
      <c r="I9" s="1"/>
      <c r="J9" s="1"/>
      <c r="K9" s="1"/>
      <c r="L9" s="1"/>
      <c r="M9" s="1"/>
      <c r="N9" s="1"/>
      <c r="O9" s="1"/>
      <c r="P9" s="1"/>
      <c r="Q9" s="1"/>
      <c r="R9" s="1"/>
      <c r="S9" s="1"/>
      <c r="T9" s="1"/>
      <c r="U9" s="1"/>
      <c r="V9" s="1"/>
      <c r="W9" s="1"/>
      <c r="X9" s="1"/>
      <c r="Y9" s="1"/>
      <c r="Z9" s="1"/>
    </row>
    <row r="10">
      <c r="A10" s="1" t="s">
        <v>162</v>
      </c>
      <c r="B10" s="8">
        <f>B9-B8</f>
        <v>46574.83</v>
      </c>
      <c r="C10" s="1"/>
      <c r="D10" s="1"/>
      <c r="E10" s="1"/>
      <c r="F10" s="1"/>
      <c r="G10" s="1"/>
      <c r="H10" s="1"/>
      <c r="I10" s="1"/>
      <c r="J10" s="1"/>
      <c r="K10" s="1"/>
      <c r="L10" s="1"/>
      <c r="M10" s="1"/>
      <c r="N10" s="1"/>
      <c r="O10" s="1"/>
      <c r="P10" s="1"/>
      <c r="Q10" s="1"/>
      <c r="R10" s="1"/>
      <c r="S10" s="1"/>
      <c r="T10" s="1"/>
      <c r="U10" s="1"/>
      <c r="V10" s="1"/>
      <c r="W10" s="1"/>
      <c r="X10" s="1"/>
      <c r="Y10" s="1"/>
      <c r="Z10" s="1"/>
    </row>
    <row r="11">
      <c r="A11" s="1" t="s">
        <v>167</v>
      </c>
      <c r="B11" s="8">
        <f>STDEV('Geschäfte'!J4:J253)</f>
        <v>4165.183916</v>
      </c>
      <c r="C11" s="1"/>
      <c r="D11" s="1"/>
      <c r="E11" s="1"/>
      <c r="F11" s="1"/>
      <c r="G11" s="1"/>
      <c r="H11" s="1"/>
      <c r="I11" s="1"/>
      <c r="J11" s="1"/>
      <c r="K11" s="1"/>
      <c r="L11" s="1"/>
      <c r="M11" s="1"/>
      <c r="N11" s="1"/>
      <c r="O11" s="1"/>
      <c r="P11" s="1"/>
      <c r="Q11" s="1"/>
      <c r="R11" s="1"/>
      <c r="S11" s="1"/>
      <c r="T11" s="1"/>
      <c r="U11" s="1"/>
      <c r="V11" s="1"/>
      <c r="W11" s="1"/>
      <c r="X11" s="1"/>
      <c r="Y11" s="1"/>
      <c r="Z11" s="1"/>
    </row>
    <row r="12">
      <c r="A12" s="1" t="s">
        <v>171</v>
      </c>
      <c r="B12" s="8">
        <f>quartile('Geschäfte'!J4:J253,1)</f>
        <v>133.4775</v>
      </c>
      <c r="C12" s="1"/>
      <c r="D12" s="1"/>
      <c r="E12" s="1"/>
      <c r="F12" s="1"/>
      <c r="G12" s="1"/>
      <c r="H12" s="1"/>
      <c r="I12" s="1"/>
      <c r="J12" s="1"/>
      <c r="K12" s="1"/>
      <c r="L12" s="1"/>
      <c r="M12" s="1"/>
      <c r="N12" s="1"/>
      <c r="O12" s="1"/>
      <c r="P12" s="1"/>
      <c r="Q12" s="1"/>
      <c r="R12" s="1"/>
      <c r="S12" s="1"/>
      <c r="T12" s="1"/>
      <c r="U12" s="1"/>
      <c r="V12" s="1"/>
      <c r="W12" s="1"/>
      <c r="X12" s="1"/>
      <c r="Y12" s="1"/>
      <c r="Z12" s="1"/>
    </row>
    <row r="13">
      <c r="A13" s="1" t="s">
        <v>172</v>
      </c>
      <c r="B13" s="8">
        <f>quartile('Geschäfte'!J4:J253,3)</f>
        <v>1069.4625</v>
      </c>
      <c r="C13" s="1"/>
      <c r="D13" s="1"/>
      <c r="E13" s="1"/>
      <c r="F13" s="1"/>
      <c r="G13" s="1"/>
      <c r="H13" s="1"/>
      <c r="I13" s="1"/>
      <c r="J13" s="1"/>
      <c r="K13" s="1"/>
      <c r="L13" s="1"/>
      <c r="M13" s="1"/>
      <c r="N13" s="1"/>
      <c r="O13" s="1"/>
      <c r="P13" s="1"/>
      <c r="Q13" s="1"/>
      <c r="R13" s="1"/>
      <c r="S13" s="1"/>
      <c r="T13" s="1"/>
      <c r="U13" s="1"/>
      <c r="V13" s="1"/>
      <c r="W13" s="1"/>
      <c r="X13" s="1"/>
      <c r="Y13" s="1"/>
      <c r="Z13" s="1"/>
    </row>
    <row r="14">
      <c r="A14" s="1" t="s">
        <v>174</v>
      </c>
      <c r="B14" s="8">
        <f>B13-B12</f>
        <v>935.985</v>
      </c>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ht="43.5" customHeight="1">
      <c r="A16" s="13" t="s">
        <v>176</v>
      </c>
      <c r="F16" s="1"/>
      <c r="G16" s="1"/>
      <c r="H16" s="1"/>
      <c r="I16" s="1"/>
      <c r="J16" s="1"/>
      <c r="K16" s="1"/>
      <c r="L16" s="1"/>
      <c r="M16" s="1"/>
      <c r="N16" s="1"/>
      <c r="O16" s="1"/>
      <c r="P16" s="1"/>
      <c r="Q16" s="1"/>
      <c r="R16" s="1"/>
      <c r="S16" s="1"/>
      <c r="T16" s="1"/>
      <c r="U16" s="1"/>
      <c r="V16" s="1"/>
      <c r="W16" s="1"/>
      <c r="X16" s="1"/>
      <c r="Y16" s="1"/>
      <c r="Z16" s="1"/>
    </row>
    <row r="17">
      <c r="A17" s="1"/>
      <c r="B17" s="1"/>
      <c r="C17" s="1"/>
      <c r="D17" s="1"/>
      <c r="L17" s="1"/>
      <c r="M17" s="1"/>
      <c r="N17" s="1"/>
      <c r="O17" s="1"/>
      <c r="P17" s="1"/>
      <c r="Q17" s="1"/>
      <c r="R17" s="1"/>
      <c r="S17" s="1"/>
      <c r="T17" s="1"/>
      <c r="U17" s="1"/>
      <c r="V17" s="1"/>
      <c r="W17" s="1"/>
      <c r="X17" s="1"/>
      <c r="Y17" s="1"/>
      <c r="Z17" s="1"/>
    </row>
    <row r="18">
      <c r="A18" s="6" t="s">
        <v>177</v>
      </c>
      <c r="B18" s="1"/>
      <c r="C18" s="1"/>
      <c r="D18" s="1"/>
      <c r="L18" s="1"/>
      <c r="M18" s="1"/>
      <c r="N18" s="1"/>
      <c r="O18" s="1"/>
      <c r="P18" s="1"/>
      <c r="Q18" s="1"/>
      <c r="R18" s="1"/>
      <c r="S18" s="1"/>
      <c r="T18" s="1"/>
      <c r="U18" s="1"/>
      <c r="V18" s="1"/>
      <c r="W18" s="1"/>
      <c r="X18" s="1"/>
      <c r="Y18" s="1"/>
      <c r="Z18" s="1"/>
    </row>
    <row r="19">
      <c r="A19" s="1" t="s">
        <v>53</v>
      </c>
      <c r="B19" s="1" t="s">
        <v>178</v>
      </c>
      <c r="C19" s="1" t="s">
        <v>49</v>
      </c>
      <c r="D19" s="1" t="s">
        <v>179</v>
      </c>
      <c r="L19" s="1"/>
      <c r="M19" s="1"/>
      <c r="N19" s="1"/>
      <c r="O19" s="1"/>
      <c r="P19" s="1"/>
      <c r="Q19" s="1"/>
      <c r="R19" s="1"/>
      <c r="S19" s="1"/>
      <c r="T19" s="1"/>
      <c r="U19" s="1"/>
      <c r="V19" s="1"/>
      <c r="W19" s="1"/>
      <c r="X19" s="1"/>
      <c r="Y19" s="1"/>
      <c r="Z19" s="1"/>
    </row>
    <row r="20">
      <c r="A20" s="1" t="s">
        <v>180</v>
      </c>
      <c r="B20" s="8">
        <f>SUMIFS('Geschäfte'!$J$4:$J$253,'Geschäfte'!$K$4:$K$253,A20)</f>
        <v>186600.12</v>
      </c>
      <c r="C20" s="1">
        <f t="array" ref="C20">COUNTIF('Geschäfte'!$K$4:$K$253,A20)</f>
        <v>98</v>
      </c>
      <c r="D20" s="8">
        <f>AVERAGEIF('Geschäfte'!$K$4:$K$253,A20,'Geschäfte'!$J$4:$J$253)</f>
        <v>1904.082857</v>
      </c>
      <c r="L20" s="1"/>
      <c r="M20" s="1"/>
      <c r="N20" s="1"/>
      <c r="O20" s="1"/>
      <c r="P20" s="1"/>
      <c r="Q20" s="1"/>
      <c r="R20" s="1"/>
      <c r="S20" s="1"/>
      <c r="T20" s="1"/>
      <c r="U20" s="1"/>
      <c r="V20" s="1"/>
      <c r="W20" s="1"/>
      <c r="X20" s="1"/>
      <c r="Y20" s="1"/>
      <c r="Z20" s="1"/>
    </row>
    <row r="21">
      <c r="A21" s="1" t="s">
        <v>181</v>
      </c>
      <c r="B21" s="8">
        <f>SUMIFS('Geschäfte'!$J$4:$J$253,'Geschäfte'!$K$4:$K$253,A21)</f>
        <v>85430.35</v>
      </c>
      <c r="C21" s="1">
        <f t="array" ref="C21">COUNTIF('Geschäfte'!$K$4:$K$253,A21)</f>
        <v>70</v>
      </c>
      <c r="D21" s="8">
        <f>AVERAGEIF('Geschäfte'!$K$4:$K$253,A21,'Geschäfte'!$J$4:$J$253)</f>
        <v>1220.433571</v>
      </c>
      <c r="L21" s="1"/>
      <c r="M21" s="1"/>
      <c r="N21" s="1"/>
      <c r="O21" s="1"/>
      <c r="P21" s="1"/>
      <c r="Q21" s="1"/>
      <c r="R21" s="1"/>
      <c r="S21" s="1"/>
      <c r="T21" s="1"/>
      <c r="U21" s="1"/>
      <c r="V21" s="1"/>
      <c r="W21" s="1"/>
      <c r="X21" s="1"/>
      <c r="Y21" s="1"/>
      <c r="Z21" s="1"/>
    </row>
    <row r="22">
      <c r="A22" s="1" t="s">
        <v>182</v>
      </c>
      <c r="B22" s="8">
        <f>SUMIFS('Geschäfte'!$J$4:$J$253,'Geschäfte'!$K$4:$K$253,A22)</f>
        <v>92604.08</v>
      </c>
      <c r="C22" s="1">
        <f t="array" ref="C22">COUNTIF('Geschäfte'!$K$4:$K$253,A22)</f>
        <v>82</v>
      </c>
      <c r="D22" s="8">
        <f>AVERAGEIF('Geschäfte'!$K$4:$K$253,A22,'Geschäfte'!$J$4:$J$253)</f>
        <v>1129.318049</v>
      </c>
      <c r="L22" s="1"/>
      <c r="M22" s="1"/>
      <c r="N22" s="1"/>
      <c r="O22" s="1"/>
      <c r="P22" s="1"/>
      <c r="Q22" s="1"/>
      <c r="R22" s="1"/>
      <c r="S22" s="1"/>
      <c r="T22" s="1"/>
      <c r="U22" s="1"/>
      <c r="V22" s="1"/>
      <c r="W22" s="1"/>
      <c r="X22" s="1"/>
      <c r="Y22" s="1"/>
      <c r="Z22" s="1"/>
    </row>
    <row r="23">
      <c r="A23" s="1" t="s">
        <v>183</v>
      </c>
      <c r="B23" s="8">
        <f t="shared" ref="B23:C23" si="1">SUM(B20:B22)</f>
        <v>364634.55</v>
      </c>
      <c r="C23" s="7">
        <f t="shared" si="1"/>
        <v>250</v>
      </c>
      <c r="D23" s="8">
        <f>AVERAGE('Geschäfte'!J4:J253)</f>
        <v>1458.5382</v>
      </c>
      <c r="E23" s="1"/>
      <c r="L23" s="1"/>
      <c r="M23" s="1"/>
      <c r="N23" s="1"/>
      <c r="O23" s="1"/>
      <c r="P23" s="1"/>
      <c r="Q23" s="1"/>
      <c r="R23" s="1"/>
      <c r="S23" s="1"/>
      <c r="T23" s="1"/>
      <c r="U23" s="1"/>
      <c r="V23" s="1"/>
      <c r="W23" s="1"/>
      <c r="X23" s="1"/>
      <c r="Y23" s="1"/>
      <c r="Z23" s="1"/>
    </row>
    <row r="24">
      <c r="A24" s="1"/>
      <c r="B24" s="1"/>
      <c r="C24" s="1"/>
      <c r="D24" s="1"/>
      <c r="E24" s="1"/>
      <c r="L24" s="1"/>
      <c r="M24" s="1"/>
      <c r="N24" s="1"/>
      <c r="O24" s="1"/>
      <c r="P24" s="1"/>
      <c r="Q24" s="1"/>
      <c r="R24" s="1"/>
      <c r="S24" s="1"/>
      <c r="T24" s="1"/>
      <c r="U24" s="1"/>
      <c r="V24" s="1"/>
      <c r="W24" s="1"/>
      <c r="X24" s="1"/>
      <c r="Y24" s="1"/>
      <c r="Z24" s="1"/>
    </row>
    <row r="25">
      <c r="A25" s="6" t="s">
        <v>184</v>
      </c>
      <c r="B25" s="1"/>
      <c r="C25" s="1"/>
      <c r="D25" s="1"/>
      <c r="E25" s="1"/>
      <c r="L25" s="1"/>
      <c r="M25" s="1"/>
      <c r="N25" s="1"/>
      <c r="O25" s="1"/>
      <c r="P25" s="1"/>
      <c r="Q25" s="1"/>
      <c r="R25" s="1"/>
      <c r="S25" s="1"/>
      <c r="T25" s="1"/>
      <c r="U25" s="1"/>
      <c r="V25" s="1"/>
      <c r="W25" s="1"/>
      <c r="X25" s="1"/>
      <c r="Y25" s="1"/>
      <c r="Z25" s="1"/>
    </row>
    <row r="26">
      <c r="A26" s="1" t="s">
        <v>8</v>
      </c>
      <c r="B26" s="1" t="s">
        <v>49</v>
      </c>
      <c r="C26" s="1" t="s">
        <v>178</v>
      </c>
      <c r="D26" s="1" t="s">
        <v>179</v>
      </c>
      <c r="E26" s="1"/>
      <c r="L26" s="1"/>
      <c r="M26" s="1"/>
      <c r="N26" s="1"/>
      <c r="O26" s="1"/>
      <c r="P26" s="1"/>
      <c r="Q26" s="1"/>
      <c r="R26" s="1"/>
      <c r="S26" s="1"/>
      <c r="T26" s="1"/>
      <c r="U26" s="1"/>
      <c r="V26" s="1"/>
      <c r="W26" s="1"/>
      <c r="X26" s="1"/>
      <c r="Y26" s="1"/>
      <c r="Z26" s="1"/>
    </row>
    <row r="27">
      <c r="A27" s="1" t="str">
        <f>IFERROR(__xludf.DUMMYFUNCTION("SORT(UNIQUE(FILTER('Geschäfte'!G4:G253,'Geschäfte'!G4:G253&lt;&gt;"""")))"),"APAC")</f>
        <v>APAC</v>
      </c>
      <c r="B27" s="1">
        <f t="array" ref="B27">COUNTIF('Geschäfte'!$G$4:$G$253,A27)</f>
        <v>66</v>
      </c>
      <c r="C27" s="8">
        <f>SUMIFS('Geschäfte'!$J$4:$J$253,'Geschäfte'!$G$4:$G$253,A27)</f>
        <v>120025.49</v>
      </c>
      <c r="D27" s="8">
        <f>AVERAGEIF('Geschäfte'!$G$4:$G$253,A27,'Geschäfte'!$J$4:$J$253)</f>
        <v>1818.56803</v>
      </c>
      <c r="E27" s="1"/>
      <c r="L27" s="1"/>
      <c r="M27" s="1"/>
      <c r="N27" s="1"/>
      <c r="O27" s="1"/>
      <c r="P27" s="1"/>
      <c r="Q27" s="1"/>
      <c r="R27" s="1"/>
      <c r="S27" s="1"/>
      <c r="T27" s="1"/>
      <c r="U27" s="1"/>
      <c r="V27" s="1"/>
      <c r="W27" s="1"/>
      <c r="X27" s="1"/>
      <c r="Y27" s="1"/>
      <c r="Z27" s="1"/>
    </row>
    <row r="28">
      <c r="A28" s="1" t="str">
        <f>IFERROR(__xludf.DUMMYFUNCTION("""COMPUTED_VALUE"""),"EMEA")</f>
        <v>EMEA</v>
      </c>
      <c r="B28" s="1">
        <f t="array" ref="B28">COUNTIF('Geschäfte'!$G$4:$G$253,A28)</f>
        <v>65</v>
      </c>
      <c r="C28" s="8">
        <f>SUMIFS('Geschäfte'!$J$4:$J$253,'Geschäfte'!$G$4:$G$253,A28)</f>
        <v>78148.92</v>
      </c>
      <c r="D28" s="8">
        <f>AVERAGEIF('Geschäfte'!$G$4:$G$253,A28,'Geschäfte'!$J$4:$J$253)</f>
        <v>1202.291077</v>
      </c>
      <c r="E28" s="1"/>
      <c r="L28" s="1"/>
      <c r="M28" s="1"/>
      <c r="N28" s="1"/>
      <c r="O28" s="1"/>
      <c r="P28" s="1"/>
      <c r="Q28" s="1"/>
      <c r="R28" s="1"/>
      <c r="S28" s="1"/>
      <c r="T28" s="1"/>
      <c r="U28" s="1"/>
      <c r="V28" s="1"/>
      <c r="W28" s="1"/>
      <c r="X28" s="1"/>
      <c r="Y28" s="1"/>
      <c r="Z28" s="1"/>
    </row>
    <row r="29">
      <c r="A29" s="1" t="str">
        <f>IFERROR(__xludf.DUMMYFUNCTION("""COMPUTED_VALUE"""),"LATAM")</f>
        <v>LATAM</v>
      </c>
      <c r="B29" s="1">
        <f t="array" ref="B29">COUNTIF('Geschäfte'!$G$4:$G$253,A29)</f>
        <v>53</v>
      </c>
      <c r="C29" s="8">
        <f>SUMIFS('Geschäfte'!$J$4:$J$253,'Geschäfte'!$G$4:$G$253,A29)</f>
        <v>93875.14</v>
      </c>
      <c r="D29" s="8">
        <f>AVERAGEIF('Geschäfte'!$G$4:$G$253,A29,'Geschäfte'!$J$4:$J$253)</f>
        <v>1771.229057</v>
      </c>
      <c r="E29" s="1"/>
      <c r="H29" s="1"/>
      <c r="I29" s="1"/>
      <c r="J29" s="1"/>
      <c r="K29" s="1"/>
      <c r="L29" s="1"/>
      <c r="M29" s="1"/>
      <c r="N29" s="1"/>
      <c r="O29" s="1"/>
      <c r="P29" s="1"/>
      <c r="Q29" s="1"/>
      <c r="R29" s="1"/>
      <c r="S29" s="1"/>
      <c r="T29" s="1"/>
      <c r="U29" s="1"/>
      <c r="V29" s="1"/>
      <c r="W29" s="1"/>
      <c r="X29" s="1"/>
      <c r="Y29" s="1"/>
      <c r="Z29" s="1"/>
    </row>
    <row r="30">
      <c r="A30" s="1" t="str">
        <f>IFERROR(__xludf.DUMMYFUNCTION("""COMPUTED_VALUE"""),"North America")</f>
        <v>North America</v>
      </c>
      <c r="B30" s="1">
        <f t="array" ref="B30">COUNTIF('Geschäfte'!$G$4:$G$253,A30)</f>
        <v>66</v>
      </c>
      <c r="C30" s="8">
        <f>SUMIFS('Geschäfte'!$J$4:$J$253,'Geschäfte'!$G$4:$G$253,A30)</f>
        <v>72585</v>
      </c>
      <c r="D30" s="8">
        <f>AVERAGEIF('Geschäfte'!$G$4:$G$253,A30,'Geschäfte'!$J$4:$J$253)</f>
        <v>1099.772727</v>
      </c>
      <c r="E30" s="1"/>
      <c r="H30" s="1"/>
      <c r="I30" s="1"/>
      <c r="J30" s="1"/>
      <c r="K30" s="1"/>
      <c r="L30" s="1"/>
      <c r="M30" s="1"/>
      <c r="N30" s="1"/>
      <c r="O30" s="1"/>
      <c r="P30" s="1"/>
      <c r="Q30" s="1"/>
      <c r="R30" s="1"/>
      <c r="S30" s="1"/>
      <c r="T30" s="1"/>
      <c r="U30" s="1"/>
      <c r="V30" s="1"/>
      <c r="W30" s="1"/>
      <c r="X30" s="1"/>
      <c r="Y30" s="1"/>
      <c r="Z30" s="1"/>
    </row>
    <row r="31">
      <c r="A31" s="1" t="s">
        <v>183</v>
      </c>
      <c r="B31" s="1">
        <f t="shared" ref="B31:C31" si="2">SUM(B27:B30)</f>
        <v>250</v>
      </c>
      <c r="C31" s="8">
        <f t="shared" si="2"/>
        <v>364634.55</v>
      </c>
      <c r="D31" s="8">
        <f>AVERAGE('Geschäfte'!J4:J253)</f>
        <v>1458.5382</v>
      </c>
      <c r="E31" s="1"/>
      <c r="H31" s="1"/>
      <c r="I31" s="1"/>
      <c r="J31" s="1"/>
      <c r="K31" s="1"/>
      <c r="L31" s="1"/>
      <c r="M31" s="1"/>
      <c r="N31" s="1"/>
      <c r="O31" s="1"/>
      <c r="P31" s="1"/>
      <c r="Q31" s="1"/>
      <c r="R31" s="1"/>
      <c r="S31" s="1"/>
      <c r="T31" s="1"/>
      <c r="U31" s="1"/>
      <c r="V31" s="1"/>
      <c r="W31" s="1"/>
      <c r="X31" s="1"/>
      <c r="Y31" s="1"/>
      <c r="Z31" s="1"/>
    </row>
    <row r="32">
      <c r="A32" s="1"/>
      <c r="B32" s="1"/>
      <c r="C32" s="1"/>
      <c r="D32" s="1"/>
      <c r="E32" s="1"/>
      <c r="F32" s="1"/>
      <c r="H32" s="1"/>
      <c r="I32" s="1"/>
      <c r="J32" s="1"/>
      <c r="K32" s="1"/>
      <c r="L32" s="1"/>
      <c r="M32" s="1"/>
      <c r="N32" s="1"/>
      <c r="O32" s="1"/>
      <c r="P32" s="1"/>
      <c r="Q32" s="1"/>
      <c r="R32" s="1"/>
      <c r="S32" s="1"/>
      <c r="T32" s="1"/>
      <c r="U32" s="1"/>
      <c r="V32" s="1"/>
      <c r="W32" s="1"/>
      <c r="X32" s="1"/>
      <c r="Y32" s="1"/>
      <c r="Z32" s="1"/>
    </row>
    <row r="33">
      <c r="A33" s="6" t="s">
        <v>359</v>
      </c>
      <c r="C33" s="1"/>
      <c r="D33" s="1"/>
      <c r="E33" s="1"/>
      <c r="F33" s="1"/>
      <c r="H33" s="1"/>
      <c r="I33" s="1"/>
      <c r="J33" s="1"/>
      <c r="K33" s="1"/>
      <c r="L33" s="1"/>
      <c r="M33" s="1"/>
      <c r="N33" s="1"/>
      <c r="O33" s="1"/>
      <c r="P33" s="1"/>
      <c r="Q33" s="1"/>
      <c r="R33" s="1"/>
      <c r="S33" s="1"/>
      <c r="T33" s="1"/>
      <c r="U33" s="1"/>
      <c r="V33" s="1"/>
      <c r="W33" s="1"/>
      <c r="X33" s="1"/>
      <c r="Y33" s="1"/>
      <c r="Z33" s="1"/>
    </row>
    <row r="34">
      <c r="A34" s="1" t="s">
        <v>364</v>
      </c>
      <c r="B34" s="1" t="s">
        <v>49</v>
      </c>
      <c r="C34" s="1" t="s">
        <v>178</v>
      </c>
      <c r="D34" s="1" t="s">
        <v>179</v>
      </c>
      <c r="E34" s="1" t="s">
        <v>366</v>
      </c>
      <c r="F34" s="1"/>
      <c r="H34" s="1"/>
      <c r="I34" s="1"/>
      <c r="J34" s="1"/>
      <c r="K34" s="1"/>
      <c r="L34" s="1"/>
      <c r="M34" s="1"/>
      <c r="N34" s="1"/>
      <c r="O34" s="1"/>
      <c r="P34" s="1"/>
      <c r="Q34" s="1"/>
      <c r="R34" s="1"/>
      <c r="S34" s="1"/>
      <c r="T34" s="1"/>
      <c r="U34" s="1"/>
      <c r="V34" s="1"/>
      <c r="W34" s="1"/>
      <c r="X34" s="1"/>
      <c r="Y34" s="1"/>
      <c r="Z34" s="1"/>
    </row>
    <row r="35">
      <c r="A35" s="1" t="str">
        <f>IFERROR(__xludf.DUMMYFUNCTION("SORT(UNIQUE(FILTER('Geschäfte'!D4:D253,'Geschäfte'!D4:D253&lt;&gt;"""")))"),"Add-On: Analytics")</f>
        <v>Add-On: Analytics</v>
      </c>
      <c r="B35" s="1">
        <f t="array" ref="B35">COUNTIF('Geschäfte'!$D$4:$D$253,A35)</f>
        <v>22</v>
      </c>
      <c r="C35" s="8">
        <f>SUMIFS('Geschäfte'!$J$4:$J$253,'Geschäfte'!$D$4:$D$253,A35)</f>
        <v>11705.37</v>
      </c>
      <c r="D35" s="8">
        <f>AVERAGEIF('Geschäfte'!$D$4:$D$253,A35,'Geschäfte'!$J$4:$J$253)</f>
        <v>532.0622727</v>
      </c>
      <c r="E35" s="18">
        <f t="shared" ref="E35:E41" si="3">C35/$C$41</f>
        <v>0.03210164807</v>
      </c>
      <c r="F35" s="1"/>
      <c r="G35" s="1"/>
      <c r="H35" s="1"/>
      <c r="I35" s="1"/>
      <c r="J35" s="1"/>
      <c r="K35" s="1"/>
      <c r="L35" s="1"/>
      <c r="M35" s="1"/>
      <c r="N35" s="1"/>
      <c r="O35" s="1"/>
      <c r="P35" s="1"/>
      <c r="Q35" s="1"/>
      <c r="R35" s="1"/>
      <c r="S35" s="1"/>
      <c r="T35" s="1"/>
      <c r="U35" s="1"/>
      <c r="V35" s="1"/>
      <c r="W35" s="1"/>
      <c r="X35" s="1"/>
      <c r="Y35" s="1"/>
      <c r="Z35" s="1"/>
    </row>
    <row r="36">
      <c r="A36" s="1" t="str">
        <f>IFERROR(__xludf.DUMMYFUNCTION("""COMPUTED_VALUE"""),"Add-On: Support")</f>
        <v>Add-On: Support</v>
      </c>
      <c r="B36" s="1">
        <f t="array" ref="B36">COUNTIF('Geschäfte'!$D$4:$D$253,A36)</f>
        <v>18</v>
      </c>
      <c r="C36" s="8">
        <f>SUMIFS('Geschäfte'!$J$4:$J$253,'Geschäfte'!$D$4:$D$253,A36)</f>
        <v>8208.19</v>
      </c>
      <c r="D36" s="8">
        <f>AVERAGEIF('Geschäfte'!$D$4:$D$253,A36,'Geschäfte'!$J$4:$J$253)</f>
        <v>456.0105556</v>
      </c>
      <c r="E36" s="18">
        <f t="shared" si="3"/>
        <v>0.02251073026</v>
      </c>
      <c r="F36" s="1"/>
      <c r="G36" s="1"/>
      <c r="H36" s="1"/>
      <c r="I36" s="1"/>
      <c r="J36" s="1"/>
      <c r="K36" s="1"/>
      <c r="L36" s="1"/>
      <c r="M36" s="1"/>
      <c r="N36" s="1"/>
      <c r="O36" s="1"/>
      <c r="P36" s="1"/>
      <c r="Q36" s="1"/>
      <c r="R36" s="1"/>
      <c r="S36" s="1"/>
      <c r="T36" s="1"/>
      <c r="U36" s="1"/>
      <c r="V36" s="1"/>
      <c r="W36" s="1"/>
      <c r="X36" s="1"/>
      <c r="Y36" s="1"/>
      <c r="Z36" s="1"/>
    </row>
    <row r="37">
      <c r="A37" s="1" t="str">
        <f>IFERROR(__xludf.DUMMYFUNCTION("""COMPUTED_VALUE"""),"Business Plan")</f>
        <v>Business Plan</v>
      </c>
      <c r="B37" s="1">
        <f t="array" ref="B37">COUNTIF('Geschäfte'!$D$4:$D$253,A37)</f>
        <v>43</v>
      </c>
      <c r="C37" s="8">
        <f>SUMIFS('Geschäfte'!$J$4:$J$253,'Geschäfte'!$D$4:$D$253,A37)</f>
        <v>56431.16</v>
      </c>
      <c r="D37" s="8">
        <f>AVERAGEIF('Geschäfte'!$D$4:$D$253,A37,'Geschäfte'!$J$4:$J$253)</f>
        <v>1312.352558</v>
      </c>
      <c r="E37" s="18">
        <f t="shared" si="3"/>
        <v>0.1547608695</v>
      </c>
      <c r="F37" s="1"/>
      <c r="G37" s="1"/>
      <c r="H37" s="1"/>
      <c r="I37" s="1"/>
      <c r="J37" s="1"/>
      <c r="K37" s="1"/>
      <c r="L37" s="1"/>
      <c r="M37" s="1"/>
      <c r="N37" s="1"/>
      <c r="O37" s="1"/>
      <c r="P37" s="1"/>
      <c r="Q37" s="1"/>
      <c r="R37" s="1"/>
      <c r="S37" s="1"/>
      <c r="T37" s="1"/>
      <c r="U37" s="1"/>
      <c r="V37" s="1"/>
      <c r="W37" s="1"/>
      <c r="X37" s="1"/>
      <c r="Y37" s="1"/>
      <c r="Z37" s="1"/>
    </row>
    <row r="38">
      <c r="A38" s="1" t="str">
        <f>IFERROR(__xludf.DUMMYFUNCTION("""COMPUTED_VALUE"""),"Enterprise Plan")</f>
        <v>Enterprise Plan</v>
      </c>
      <c r="B38" s="1">
        <f t="array" ref="B38">COUNTIF('Geschäfte'!$D$4:$D$253,A38)</f>
        <v>23</v>
      </c>
      <c r="C38" s="8">
        <f>SUMIFS('Geschäfte'!$J$4:$J$253,'Geschäfte'!$D$4:$D$253,A38)</f>
        <v>170914.03</v>
      </c>
      <c r="D38" s="8">
        <f>AVERAGEIF('Geschäfte'!$D$4:$D$253,A38,'Geschäfte'!$J$4:$J$253)</f>
        <v>7431.044783</v>
      </c>
      <c r="E38" s="18">
        <f t="shared" si="3"/>
        <v>0.4687269212</v>
      </c>
      <c r="F38" s="1"/>
      <c r="G38" s="1"/>
      <c r="H38" s="1"/>
      <c r="I38" s="1"/>
      <c r="J38" s="1"/>
      <c r="K38" s="1"/>
      <c r="L38" s="1"/>
      <c r="M38" s="1"/>
      <c r="N38" s="1"/>
      <c r="O38" s="1"/>
      <c r="P38" s="1"/>
      <c r="Q38" s="1"/>
      <c r="R38" s="1"/>
      <c r="S38" s="1"/>
      <c r="T38" s="1"/>
      <c r="U38" s="1"/>
      <c r="V38" s="1"/>
      <c r="W38" s="1"/>
      <c r="X38" s="1"/>
      <c r="Y38" s="1"/>
      <c r="Z38" s="1"/>
    </row>
    <row r="39">
      <c r="A39" s="1" t="str">
        <f>IFERROR(__xludf.DUMMYFUNCTION("""COMPUTED_VALUE"""),"Pro Plan")</f>
        <v>Pro Plan</v>
      </c>
      <c r="B39" s="1">
        <f t="array" ref="B39">COUNTIF('Geschäfte'!$D$4:$D$253,A39)</f>
        <v>70</v>
      </c>
      <c r="C39" s="8">
        <f>SUMIFS('Geschäfte'!$J$4:$J$253,'Geschäfte'!$D$4:$D$253,A39)</f>
        <v>85206.85</v>
      </c>
      <c r="D39" s="8">
        <f>AVERAGEIF('Geschäfte'!$D$4:$D$253,A39,'Geschäfte'!$J$4:$J$253)</f>
        <v>1217.240714</v>
      </c>
      <c r="E39" s="18">
        <f t="shared" si="3"/>
        <v>0.2336773901</v>
      </c>
      <c r="F39" s="1"/>
      <c r="G39" s="1"/>
      <c r="H39" s="1"/>
      <c r="I39" s="1"/>
      <c r="J39" s="1"/>
      <c r="K39" s="1"/>
      <c r="L39" s="1"/>
      <c r="M39" s="1"/>
      <c r="N39" s="1"/>
      <c r="O39" s="1"/>
      <c r="P39" s="1"/>
      <c r="Q39" s="1"/>
      <c r="R39" s="1"/>
      <c r="S39" s="1"/>
      <c r="T39" s="1"/>
      <c r="U39" s="1"/>
      <c r="V39" s="1"/>
      <c r="W39" s="1"/>
      <c r="X39" s="1"/>
      <c r="Y39" s="1"/>
      <c r="Z39" s="1"/>
    </row>
    <row r="40">
      <c r="A40" s="1" t="str">
        <f>IFERROR(__xludf.DUMMYFUNCTION("""COMPUTED_VALUE"""),"Starter Plan")</f>
        <v>Starter Plan</v>
      </c>
      <c r="B40" s="1">
        <f t="array" ref="B40">COUNTIF('Geschäfte'!$D$4:$D$253,A40)</f>
        <v>74</v>
      </c>
      <c r="C40" s="8">
        <f>SUMIFS('Geschäfte'!$J$4:$J$253,'Geschäfte'!$D$4:$D$253,A40)</f>
        <v>32168.95</v>
      </c>
      <c r="D40" s="8">
        <f>AVERAGEIF('Geschäfte'!$D$4:$D$253,A40,'Geschäfte'!$J$4:$J$253)</f>
        <v>434.7155405</v>
      </c>
      <c r="E40" s="18">
        <f t="shared" si="3"/>
        <v>0.0882224408</v>
      </c>
      <c r="F40" s="1"/>
      <c r="G40" s="1"/>
      <c r="H40" s="1"/>
      <c r="I40" s="1"/>
      <c r="J40" s="1"/>
      <c r="K40" s="1"/>
      <c r="L40" s="1"/>
      <c r="M40" s="1"/>
      <c r="N40" s="1"/>
      <c r="O40" s="1"/>
      <c r="P40" s="1"/>
      <c r="Q40" s="1"/>
      <c r="R40" s="1"/>
      <c r="S40" s="1"/>
      <c r="T40" s="1"/>
      <c r="U40" s="1"/>
      <c r="V40" s="1"/>
      <c r="W40" s="1"/>
      <c r="X40" s="1"/>
      <c r="Y40" s="1"/>
      <c r="Z40" s="1"/>
    </row>
    <row r="41">
      <c r="A41" s="1" t="s">
        <v>183</v>
      </c>
      <c r="B41" s="1">
        <f t="shared" ref="B41:C41" si="4">SUM(B35:B40)</f>
        <v>250</v>
      </c>
      <c r="C41" s="8">
        <f t="shared" si="4"/>
        <v>364634.55</v>
      </c>
      <c r="D41" s="8">
        <f>AVERAGE('Geschäfte'!J4:J253)</f>
        <v>1458.5382</v>
      </c>
      <c r="E41" s="18">
        <f t="shared" si="3"/>
        <v>1</v>
      </c>
      <c r="F41" s="1"/>
      <c r="G41" s="1"/>
      <c r="H41" s="1"/>
      <c r="I41" s="1"/>
      <c r="J41" s="1"/>
      <c r="K41" s="1"/>
      <c r="L41" s="1"/>
      <c r="M41" s="1"/>
      <c r="N41" s="1"/>
      <c r="O41" s="1"/>
      <c r="P41" s="1"/>
      <c r="Q41" s="1"/>
      <c r="R41" s="1"/>
      <c r="S41" s="1"/>
      <c r="T41" s="1"/>
      <c r="U41" s="1"/>
      <c r="V41" s="1"/>
      <c r="W41" s="1"/>
      <c r="X41" s="1"/>
      <c r="Y41" s="1"/>
      <c r="Z41" s="1"/>
    </row>
    <row r="42">
      <c r="G42" s="1"/>
      <c r="H42" s="1"/>
      <c r="I42" s="1"/>
      <c r="J42" s="1"/>
      <c r="K42" s="1"/>
      <c r="L42" s="1"/>
      <c r="M42" s="1"/>
      <c r="N42" s="1"/>
      <c r="O42" s="1"/>
      <c r="P42" s="1"/>
      <c r="Q42" s="1"/>
      <c r="R42" s="1"/>
      <c r="S42" s="1"/>
      <c r="T42" s="1"/>
      <c r="U42" s="1"/>
      <c r="V42" s="1"/>
      <c r="W42" s="1"/>
      <c r="X42" s="1"/>
      <c r="Y42" s="1"/>
      <c r="Z42" s="1"/>
    </row>
    <row r="43">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
    <mergeCell ref="A1:C1"/>
    <mergeCell ref="A16:E16"/>
    <mergeCell ref="A33:B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9.63"/>
    <col customWidth="1" min="2" max="8" width="18.88"/>
    <col customWidth="1" min="10" max="15" width="21.63"/>
  </cols>
  <sheetData>
    <row r="2">
      <c r="A2" s="2" t="s">
        <v>26</v>
      </c>
      <c r="J2" s="2" t="s">
        <v>27</v>
      </c>
    </row>
    <row r="3"/>
    <row r="4"/>
    <row r="5"/>
    <row r="6"/>
    <row r="7"/>
    <row r="8"/>
    <row r="9"/>
    <row r="10"/>
    <row r="11"/>
    <row r="12"/>
    <row r="13"/>
    <row r="14"/>
    <row r="15"/>
    <row r="16"/>
    <row r="17"/>
    <row r="19">
      <c r="A19" s="1"/>
      <c r="B19" s="1"/>
      <c r="C19" s="1"/>
      <c r="D19" s="1"/>
      <c r="K19" s="1"/>
      <c r="L19" s="1"/>
      <c r="M19" s="1"/>
      <c r="N19" s="1"/>
      <c r="O19" s="1"/>
    </row>
    <row r="20">
      <c r="A20" s="1"/>
      <c r="B20" s="1"/>
      <c r="C20" s="1"/>
      <c r="D20" s="1"/>
      <c r="K20" s="1"/>
      <c r="L20" s="1"/>
      <c r="M20" s="1"/>
      <c r="N20" s="1"/>
      <c r="O20" s="1"/>
    </row>
    <row r="21">
      <c r="A21" s="1"/>
      <c r="B21" s="1"/>
      <c r="C21" s="1"/>
      <c r="D21" s="1"/>
      <c r="K21" s="1"/>
      <c r="L21" s="1"/>
      <c r="M21" s="1"/>
      <c r="N21" s="1"/>
      <c r="O21" s="1"/>
    </row>
    <row r="22">
      <c r="A22" s="1"/>
      <c r="B22" s="1"/>
      <c r="C22" s="1"/>
      <c r="D22" s="1"/>
      <c r="K22" s="1"/>
      <c r="L22" s="1"/>
      <c r="M22" s="1"/>
      <c r="N22" s="1"/>
      <c r="O22" s="1"/>
    </row>
    <row r="23">
      <c r="A23" s="1"/>
      <c r="B23" s="1"/>
      <c r="C23" s="1"/>
      <c r="D23" s="1"/>
      <c r="K23" s="1"/>
      <c r="L23" s="1"/>
      <c r="M23" s="1"/>
      <c r="N23" s="1"/>
      <c r="O23" s="1"/>
    </row>
    <row r="24">
      <c r="A24" s="1"/>
      <c r="B24" s="1"/>
      <c r="C24" s="1"/>
      <c r="D24" s="1"/>
    </row>
    <row r="25">
      <c r="A25" s="1"/>
      <c r="B25" s="1"/>
      <c r="C25" s="1"/>
      <c r="D25" s="1"/>
    </row>
    <row r="26">
      <c r="A26" s="1"/>
      <c r="B26" s="1"/>
      <c r="C26" s="1"/>
      <c r="D26" s="1"/>
    </row>
  </sheetData>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0.0"/>
    <col customWidth="1" min="9" max="9" width="19.38"/>
    <col customWidth="1" min="10" max="10" width="23.0"/>
  </cols>
  <sheetData>
    <row r="2">
      <c r="A2" s="14" t="s">
        <v>301</v>
      </c>
      <c r="G2" s="15" t="s">
        <v>306</v>
      </c>
      <c r="H2" s="16"/>
      <c r="I2" s="16"/>
      <c r="J2" s="16"/>
    </row>
    <row r="3">
      <c r="A3" s="1" t="s">
        <v>311</v>
      </c>
      <c r="B3" s="1" t="s">
        <v>6</v>
      </c>
      <c r="C3" s="1" t="s">
        <v>49</v>
      </c>
      <c r="D3" s="1" t="s">
        <v>91</v>
      </c>
      <c r="E3" s="1"/>
      <c r="G3" s="1" t="s">
        <v>311</v>
      </c>
      <c r="H3" s="1" t="s">
        <v>316</v>
      </c>
      <c r="I3" s="1" t="s">
        <v>49</v>
      </c>
      <c r="J3" s="1" t="s">
        <v>91</v>
      </c>
    </row>
    <row r="4">
      <c r="A4" s="1">
        <f t="shared" ref="A4:A15" si="1">_xlfn.RANK.EQ(C4,$C$4:$C$15,0)</f>
        <v>2</v>
      </c>
      <c r="B4" s="1" t="str">
        <f>IFERROR(__xludf.DUMMYFUNCTION("SORT(UNIQUE(FILTER('Geschäfte'!E4:E253,'Geschäfte'!E4:E253&lt;&gt;"""")))"),"Aisha Hassan")</f>
        <v>Aisha Hassan</v>
      </c>
      <c r="C4" s="1">
        <f>COUNTIF('Geschäfte'!$E$4:$E$253,B4)</f>
        <v>28</v>
      </c>
      <c r="D4" s="8">
        <f>SUMIFS('Geschäfte'!$J$4:$J$253,'Geschäfte'!$E$4:$E$253,B4)</f>
        <v>33871.15</v>
      </c>
      <c r="E4" s="8"/>
      <c r="G4" s="6">
        <f>IFERROR(__xludf.DUMMYFUNCTION("SORT(FILTER(A4:D15,C4:C15&gt;=LARGE(C4:C15,10)),3,FALSE)"),1.0)</f>
        <v>1</v>
      </c>
      <c r="H4" s="1" t="str">
        <f>IFERROR(__xludf.DUMMYFUNCTION("""COMPUTED_VALUE"""),"Marcus Johnson")</f>
        <v>Marcus Johnson</v>
      </c>
      <c r="I4" s="1">
        <f>IFERROR(__xludf.DUMMYFUNCTION("""COMPUTED_VALUE"""),37.0)</f>
        <v>37</v>
      </c>
      <c r="J4" s="8">
        <f>IFERROR(__xludf.DUMMYFUNCTION("""COMPUTED_VALUE"""),78951.97)</f>
        <v>78951.97</v>
      </c>
    </row>
    <row r="5">
      <c r="A5" s="1">
        <f t="shared" si="1"/>
        <v>3</v>
      </c>
      <c r="B5" s="1" t="str">
        <f>IFERROR(__xludf.DUMMYFUNCTION("""COMPUTED_VALUE"""),"Carlos Mendez")</f>
        <v>Carlos Mendez</v>
      </c>
      <c r="C5" s="1">
        <f>COUNTIF('Geschäfte'!$E$4:$E$253,B5)</f>
        <v>23</v>
      </c>
      <c r="D5" s="8">
        <f>SUMIFS('Geschäfte'!$J$4:$J$253,'Geschäfte'!$E$4:$E$253,B5)</f>
        <v>24711.19</v>
      </c>
      <c r="E5" s="8"/>
      <c r="G5" s="17">
        <f>IFERROR(__xludf.DUMMYFUNCTION("""COMPUTED_VALUE"""),2.0)</f>
        <v>2</v>
      </c>
      <c r="H5" s="1" t="str">
        <f>IFERROR(__xludf.DUMMYFUNCTION("""COMPUTED_VALUE"""),"Aisha Hassan")</f>
        <v>Aisha Hassan</v>
      </c>
      <c r="I5" s="1">
        <f>IFERROR(__xludf.DUMMYFUNCTION("""COMPUTED_VALUE"""),28.0)</f>
        <v>28</v>
      </c>
      <c r="J5" s="8">
        <f>IFERROR(__xludf.DUMMYFUNCTION("""COMPUTED_VALUE"""),33871.14999999999)</f>
        <v>33871.15</v>
      </c>
    </row>
    <row r="6">
      <c r="A6" s="1">
        <f t="shared" si="1"/>
        <v>3</v>
      </c>
      <c r="B6" s="1" t="str">
        <f>IFERROR(__xludf.DUMMYFUNCTION("""COMPUTED_VALUE"""),"David Kim")</f>
        <v>David Kim</v>
      </c>
      <c r="C6" s="1">
        <f>COUNTIF('Geschäfte'!$E$4:$E$253,B6)</f>
        <v>23</v>
      </c>
      <c r="D6" s="8">
        <f>SUMIFS('Geschäfte'!$J$4:$J$253,'Geschäfte'!$E$4:$E$253,B6)</f>
        <v>41052.59</v>
      </c>
      <c r="E6" s="8"/>
      <c r="G6" s="6">
        <f>IFERROR(__xludf.DUMMYFUNCTION("""COMPUTED_VALUE"""),3.0)</f>
        <v>3</v>
      </c>
      <c r="H6" s="1" t="str">
        <f>IFERROR(__xludf.DUMMYFUNCTION("""COMPUTED_VALUE"""),"Carlos Mendez")</f>
        <v>Carlos Mendez</v>
      </c>
      <c r="I6" s="1">
        <f>IFERROR(__xludf.DUMMYFUNCTION("""COMPUTED_VALUE"""),23.0)</f>
        <v>23</v>
      </c>
      <c r="J6" s="8">
        <f>IFERROR(__xludf.DUMMYFUNCTION("""COMPUTED_VALUE"""),24711.19)</f>
        <v>24711.19</v>
      </c>
    </row>
    <row r="7">
      <c r="A7" s="1">
        <f t="shared" si="1"/>
        <v>8</v>
      </c>
      <c r="B7" s="1" t="str">
        <f>IFERROR(__xludf.DUMMYFUNCTION("""COMPUTED_VALUE"""),"Elena Rossi")</f>
        <v>Elena Rossi</v>
      </c>
      <c r="C7" s="1">
        <f>COUNTIF('Geschäfte'!$E$4:$E$253,B7)</f>
        <v>17</v>
      </c>
      <c r="D7" s="8">
        <f>SUMIFS('Geschäfte'!$J$4:$J$253,'Geschäfte'!$E$4:$E$253,B7)</f>
        <v>20237.52</v>
      </c>
      <c r="E7" s="8"/>
      <c r="G7" s="6">
        <f>IFERROR(__xludf.DUMMYFUNCTION("""COMPUTED_VALUE"""),3.0)</f>
        <v>3</v>
      </c>
      <c r="H7" s="1" t="str">
        <f>IFERROR(__xludf.DUMMYFUNCTION("""COMPUTED_VALUE"""),"David Kim")</f>
        <v>David Kim</v>
      </c>
      <c r="I7" s="1">
        <f>IFERROR(__xludf.DUMMYFUNCTION("""COMPUTED_VALUE"""),23.0)</f>
        <v>23</v>
      </c>
      <c r="J7" s="8">
        <f>IFERROR(__xludf.DUMMYFUNCTION("""COMPUTED_VALUE"""),41052.59)</f>
        <v>41052.59</v>
      </c>
    </row>
    <row r="8">
      <c r="A8" s="1">
        <f t="shared" si="1"/>
        <v>7</v>
      </c>
      <c r="B8" s="1" t="str">
        <f>IFERROR(__xludf.DUMMYFUNCTION("""COMPUTED_VALUE"""),"Hannah Lee")</f>
        <v>Hannah Lee</v>
      </c>
      <c r="C8" s="1">
        <f>COUNTIF('Geschäfte'!$E$4:$E$253,B8)</f>
        <v>18</v>
      </c>
      <c r="D8" s="8">
        <f>SUMIFS('Geschäfte'!$J$4:$J$253,'Geschäfte'!$E$4:$E$253,B8)</f>
        <v>22534</v>
      </c>
      <c r="E8" s="8"/>
      <c r="G8" s="6">
        <f>IFERROR(__xludf.DUMMYFUNCTION("""COMPUTED_VALUE"""),5.0)</f>
        <v>5</v>
      </c>
      <c r="H8" s="1" t="str">
        <f>IFERROR(__xludf.DUMMYFUNCTION("""COMPUTED_VALUE"""),"Nina Petrov")</f>
        <v>Nina Petrov</v>
      </c>
      <c r="I8" s="1">
        <f>IFERROR(__xludf.DUMMYFUNCTION("""COMPUTED_VALUE"""),22.0)</f>
        <v>22</v>
      </c>
      <c r="J8" s="8">
        <f>IFERROR(__xludf.DUMMYFUNCTION("""COMPUTED_VALUE"""),64774.73999999998)</f>
        <v>64774.74</v>
      </c>
    </row>
    <row r="9">
      <c r="A9" s="1">
        <f t="shared" si="1"/>
        <v>11</v>
      </c>
      <c r="B9" s="1" t="str">
        <f>IFERROR(__xludf.DUMMYFUNCTION("""COMPUTED_VALUE"""),"James Park")</f>
        <v>James Park</v>
      </c>
      <c r="C9" s="1">
        <f>COUNTIF('Geschäfte'!$E$4:$E$253,B9)</f>
        <v>15</v>
      </c>
      <c r="D9" s="8">
        <f>SUMIFS('Geschäfte'!$J$4:$J$253,'Geschäfte'!$E$4:$E$253,B9)</f>
        <v>15195.14</v>
      </c>
      <c r="E9" s="8"/>
      <c r="G9" s="6">
        <f>IFERROR(__xludf.DUMMYFUNCTION("""COMPUTED_VALUE"""),6.0)</f>
        <v>6</v>
      </c>
      <c r="H9" s="1" t="str">
        <f>IFERROR(__xludf.DUMMYFUNCTION("""COMPUTED_VALUE"""),"Priya Patel")</f>
        <v>Priya Patel</v>
      </c>
      <c r="I9" s="1">
        <f>IFERROR(__xludf.DUMMYFUNCTION("""COMPUTED_VALUE"""),21.0)</f>
        <v>21</v>
      </c>
      <c r="J9" s="8">
        <f>IFERROR(__xludf.DUMMYFUNCTION("""COMPUTED_VALUE"""),10309.6)</f>
        <v>10309.6</v>
      </c>
    </row>
    <row r="10">
      <c r="A10" s="1">
        <f t="shared" si="1"/>
        <v>1</v>
      </c>
      <c r="B10" s="1" t="str">
        <f>IFERROR(__xludf.DUMMYFUNCTION("""COMPUTED_VALUE"""),"Marcus Johnson")</f>
        <v>Marcus Johnson</v>
      </c>
      <c r="C10" s="1">
        <f>COUNTIF('Geschäfte'!$E$4:$E$253,B10)</f>
        <v>37</v>
      </c>
      <c r="D10" s="8">
        <f>SUMIFS('Geschäfte'!$J$4:$J$253,'Geschäfte'!$E$4:$E$253,B10)</f>
        <v>78951.97</v>
      </c>
      <c r="E10" s="8"/>
      <c r="G10" s="6">
        <f>IFERROR(__xludf.DUMMYFUNCTION("""COMPUTED_VALUE"""),7.0)</f>
        <v>7</v>
      </c>
      <c r="H10" s="1" t="str">
        <f>IFERROR(__xludf.DUMMYFUNCTION("""COMPUTED_VALUE"""),"Hannah Lee")</f>
        <v>Hannah Lee</v>
      </c>
      <c r="I10" s="1">
        <f>IFERROR(__xludf.DUMMYFUNCTION("""COMPUTED_VALUE"""),18.0)</f>
        <v>18</v>
      </c>
      <c r="J10" s="8">
        <f>IFERROR(__xludf.DUMMYFUNCTION("""COMPUTED_VALUE"""),22534.0)</f>
        <v>22534</v>
      </c>
    </row>
    <row r="11">
      <c r="A11" s="1">
        <f t="shared" si="1"/>
        <v>5</v>
      </c>
      <c r="B11" s="1" t="str">
        <f>IFERROR(__xludf.DUMMYFUNCTION("""COMPUTED_VALUE"""),"Nina Petrov")</f>
        <v>Nina Petrov</v>
      </c>
      <c r="C11" s="1">
        <f>COUNTIF('Geschäfte'!$E$4:$E$253,B11)</f>
        <v>22</v>
      </c>
      <c r="D11" s="8">
        <f>SUMIFS('Geschäfte'!$J$4:$J$253,'Geschäfte'!$E$4:$E$253,B11)</f>
        <v>64774.74</v>
      </c>
      <c r="E11" s="8"/>
      <c r="G11" s="6">
        <f>IFERROR(__xludf.DUMMYFUNCTION("""COMPUTED_VALUE"""),8.0)</f>
        <v>8</v>
      </c>
      <c r="H11" s="1" t="str">
        <f>IFERROR(__xludf.DUMMYFUNCTION("""COMPUTED_VALUE"""),"Elena Rossi")</f>
        <v>Elena Rossi</v>
      </c>
      <c r="I11" s="1">
        <f>IFERROR(__xludf.DUMMYFUNCTION("""COMPUTED_VALUE"""),17.0)</f>
        <v>17</v>
      </c>
      <c r="J11" s="8">
        <f>IFERROR(__xludf.DUMMYFUNCTION("""COMPUTED_VALUE"""),20237.519999999997)</f>
        <v>20237.52</v>
      </c>
    </row>
    <row r="12">
      <c r="A12" s="1">
        <f t="shared" si="1"/>
        <v>6</v>
      </c>
      <c r="B12" s="1" t="str">
        <f>IFERROR(__xludf.DUMMYFUNCTION("""COMPUTED_VALUE"""),"Priya Patel")</f>
        <v>Priya Patel</v>
      </c>
      <c r="C12" s="1">
        <f>COUNTIF('Geschäfte'!$E$4:$E$253,B12)</f>
        <v>21</v>
      </c>
      <c r="D12" s="8">
        <f>SUMIFS('Geschäfte'!$J$4:$J$253,'Geschäfte'!$E$4:$E$253,B12)</f>
        <v>10309.6</v>
      </c>
      <c r="E12" s="8"/>
      <c r="G12" s="6">
        <f>IFERROR(__xludf.DUMMYFUNCTION("""COMPUTED_VALUE"""),8.0)</f>
        <v>8</v>
      </c>
      <c r="H12" s="1" t="str">
        <f>IFERROR(__xludf.DUMMYFUNCTION("""COMPUTED_VALUE"""),"Raj Sharma")</f>
        <v>Raj Sharma</v>
      </c>
      <c r="I12" s="1">
        <f>IFERROR(__xludf.DUMMYFUNCTION("""COMPUTED_VALUE"""),17.0)</f>
        <v>17</v>
      </c>
      <c r="J12" s="8">
        <f>IFERROR(__xludf.DUMMYFUNCTION("""COMPUTED_VALUE"""),22412.22)</f>
        <v>22412.22</v>
      </c>
    </row>
    <row r="13">
      <c r="A13" s="1">
        <f t="shared" si="1"/>
        <v>8</v>
      </c>
      <c r="B13" s="1" t="str">
        <f>IFERROR(__xludf.DUMMYFUNCTION("""COMPUTED_VALUE"""),"Raj Sharma")</f>
        <v>Raj Sharma</v>
      </c>
      <c r="C13" s="1">
        <f>COUNTIF('Geschäfte'!$E$4:$E$253,B13)</f>
        <v>17</v>
      </c>
      <c r="D13" s="8">
        <f>SUMIFS('Geschäfte'!$J$4:$J$253,'Geschäfte'!$E$4:$E$253,B13)</f>
        <v>22412.22</v>
      </c>
      <c r="E13" s="8"/>
      <c r="G13" s="6">
        <f>IFERROR(__xludf.DUMMYFUNCTION("""COMPUTED_VALUE"""),10.0)</f>
        <v>10</v>
      </c>
      <c r="H13" s="1" t="str">
        <f>IFERROR(__xludf.DUMMYFUNCTION("""COMPUTED_VALUE"""),"Tom Wilson")</f>
        <v>Tom Wilson</v>
      </c>
      <c r="I13" s="1">
        <f>IFERROR(__xludf.DUMMYFUNCTION("""COMPUTED_VALUE"""),16.0)</f>
        <v>16</v>
      </c>
      <c r="J13" s="8">
        <f>IFERROR(__xludf.DUMMYFUNCTION("""COMPUTED_VALUE"""),15401.820000000002)</f>
        <v>15401.82</v>
      </c>
    </row>
    <row r="14">
      <c r="A14" s="1">
        <f t="shared" si="1"/>
        <v>12</v>
      </c>
      <c r="B14" s="1" t="str">
        <f>IFERROR(__xludf.DUMMYFUNCTION("""COMPUTED_VALUE"""),"Sophie Laurent")</f>
        <v>Sophie Laurent</v>
      </c>
      <c r="C14" s="1">
        <f>COUNTIF('Geschäfte'!$E$4:$E$253,B14)</f>
        <v>13</v>
      </c>
      <c r="D14" s="8">
        <f>SUMIFS('Geschäfte'!$J$4:$J$253,'Geschäfte'!$E$4:$E$253,B14)</f>
        <v>15182.61</v>
      </c>
      <c r="E14" s="8"/>
    </row>
    <row r="15">
      <c r="A15" s="1">
        <f t="shared" si="1"/>
        <v>10</v>
      </c>
      <c r="B15" s="1" t="str">
        <f>IFERROR(__xludf.DUMMYFUNCTION("""COMPUTED_VALUE"""),"Tom Wilson")</f>
        <v>Tom Wilson</v>
      </c>
      <c r="C15" s="1">
        <f>COUNTIF('Geschäfte'!$E$4:$E$253,B15)</f>
        <v>16</v>
      </c>
      <c r="D15" s="8">
        <f>SUMIFS('Geschäfte'!$J$4:$J$253,'Geschäfte'!$E$4:$E$253,B15)</f>
        <v>15401.82</v>
      </c>
      <c r="E15" s="8"/>
    </row>
    <row r="19">
      <c r="A19" s="14" t="s">
        <v>553</v>
      </c>
      <c r="B19" s="14"/>
      <c r="C19" s="14"/>
      <c r="D19" s="14"/>
      <c r="E19" s="14"/>
      <c r="G19" s="15" t="s">
        <v>556</v>
      </c>
      <c r="H19" s="16"/>
      <c r="I19" s="16"/>
      <c r="J19" s="16"/>
    </row>
    <row r="20">
      <c r="A20" s="1" t="s">
        <v>311</v>
      </c>
      <c r="B20" s="1" t="s">
        <v>6</v>
      </c>
      <c r="C20" s="1" t="s">
        <v>49</v>
      </c>
      <c r="D20" s="1" t="s">
        <v>559</v>
      </c>
      <c r="E20" s="1"/>
      <c r="G20" s="1" t="s">
        <v>311</v>
      </c>
      <c r="H20" s="1" t="s">
        <v>6</v>
      </c>
      <c r="I20" s="1" t="s">
        <v>49</v>
      </c>
      <c r="J20" s="1" t="s">
        <v>559</v>
      </c>
    </row>
    <row r="21">
      <c r="A21" s="1">
        <f t="shared" ref="A21:A32" si="2">_xlfn.RANK.EQ(D21,$D$21:$D$32,0)</f>
        <v>6</v>
      </c>
      <c r="B21" s="1" t="str">
        <f>IFERROR(__xludf.DUMMYFUNCTION("SORT(UNIQUE(FILTER('Geschäfte'!E4:E253,'Geschäfte'!E4:E253&lt;&gt;"""")))"),"Aisha Hassan")</f>
        <v>Aisha Hassan</v>
      </c>
      <c r="C21" s="1">
        <f>COUNTIF('Geschäfte'!$E$4:$E$253,B4)</f>
        <v>28</v>
      </c>
      <c r="D21" s="8">
        <f t="shared" ref="D21:D32" si="3">D4/C4</f>
        <v>1209.683929</v>
      </c>
      <c r="E21" s="8"/>
      <c r="G21" s="6">
        <f>IFERROR(__xludf.DUMMYFUNCTION("SORT(FILTER(A21:D32,D21:D32&gt;=LARGE(D21:D32,10)),4,FALSE)"),1.0)</f>
        <v>1</v>
      </c>
      <c r="H21" s="1" t="str">
        <f>IFERROR(__xludf.DUMMYFUNCTION("""COMPUTED_VALUE"""),"Nina Petrov")</f>
        <v>Nina Petrov</v>
      </c>
      <c r="I21" s="1">
        <f>IFERROR(__xludf.DUMMYFUNCTION("""COMPUTED_VALUE"""),22.0)</f>
        <v>22</v>
      </c>
      <c r="J21" s="8">
        <f>IFERROR(__xludf.DUMMYFUNCTION("""COMPUTED_VALUE"""),2944.3063636363627)</f>
        <v>2944.306364</v>
      </c>
    </row>
    <row r="22">
      <c r="A22" s="1">
        <f t="shared" si="2"/>
        <v>9</v>
      </c>
      <c r="B22" s="1" t="str">
        <f>IFERROR(__xludf.DUMMYFUNCTION("""COMPUTED_VALUE"""),"Carlos Mendez")</f>
        <v>Carlos Mendez</v>
      </c>
      <c r="C22" s="1">
        <f>COUNTIF('Geschäfte'!$E$4:$E$253,B5)</f>
        <v>23</v>
      </c>
      <c r="D22" s="8">
        <f t="shared" si="3"/>
        <v>1074.399565</v>
      </c>
      <c r="E22" s="8"/>
      <c r="G22" s="6">
        <f>IFERROR(__xludf.DUMMYFUNCTION("""COMPUTED_VALUE"""),2.0)</f>
        <v>2</v>
      </c>
      <c r="H22" s="1" t="str">
        <f>IFERROR(__xludf.DUMMYFUNCTION("""COMPUTED_VALUE"""),"Marcus Johnson")</f>
        <v>Marcus Johnson</v>
      </c>
      <c r="I22" s="1">
        <f>IFERROR(__xludf.DUMMYFUNCTION("""COMPUTED_VALUE"""),37.0)</f>
        <v>37</v>
      </c>
      <c r="J22" s="8">
        <f>IFERROR(__xludf.DUMMYFUNCTION("""COMPUTED_VALUE"""),2133.837027027027)</f>
        <v>2133.837027</v>
      </c>
    </row>
    <row r="23">
      <c r="A23" s="1">
        <f t="shared" si="2"/>
        <v>3</v>
      </c>
      <c r="B23" s="1" t="str">
        <f>IFERROR(__xludf.DUMMYFUNCTION("""COMPUTED_VALUE"""),"David Kim")</f>
        <v>David Kim</v>
      </c>
      <c r="C23" s="1">
        <f>COUNTIF('Geschäfte'!$E$4:$E$253,B6)</f>
        <v>23</v>
      </c>
      <c r="D23" s="8">
        <f t="shared" si="3"/>
        <v>1784.895217</v>
      </c>
      <c r="E23" s="8"/>
      <c r="G23" s="6">
        <f>IFERROR(__xludf.DUMMYFUNCTION("""COMPUTED_VALUE"""),3.0)</f>
        <v>3</v>
      </c>
      <c r="H23" s="1" t="str">
        <f>IFERROR(__xludf.DUMMYFUNCTION("""COMPUTED_VALUE"""),"David Kim")</f>
        <v>David Kim</v>
      </c>
      <c r="I23" s="1">
        <f>IFERROR(__xludf.DUMMYFUNCTION("""COMPUTED_VALUE"""),23.0)</f>
        <v>23</v>
      </c>
      <c r="J23" s="8">
        <f>IFERROR(__xludf.DUMMYFUNCTION("""COMPUTED_VALUE"""),1784.8952173913042)</f>
        <v>1784.895217</v>
      </c>
      <c r="M23" s="1"/>
    </row>
    <row r="24">
      <c r="A24" s="1">
        <f t="shared" si="2"/>
        <v>7</v>
      </c>
      <c r="B24" s="1" t="str">
        <f>IFERROR(__xludf.DUMMYFUNCTION("""COMPUTED_VALUE"""),"Elena Rossi")</f>
        <v>Elena Rossi</v>
      </c>
      <c r="C24" s="1">
        <f>COUNTIF('Geschäfte'!$E$4:$E$253,B7)</f>
        <v>17</v>
      </c>
      <c r="D24" s="8">
        <f t="shared" si="3"/>
        <v>1190.442353</v>
      </c>
      <c r="E24" s="8"/>
      <c r="G24" s="6">
        <f>IFERROR(__xludf.DUMMYFUNCTION("""COMPUTED_VALUE"""),4.0)</f>
        <v>4</v>
      </c>
      <c r="H24" s="1" t="str">
        <f>IFERROR(__xludf.DUMMYFUNCTION("""COMPUTED_VALUE"""),"Raj Sharma")</f>
        <v>Raj Sharma</v>
      </c>
      <c r="I24" s="1">
        <f>IFERROR(__xludf.DUMMYFUNCTION("""COMPUTED_VALUE"""),17.0)</f>
        <v>17</v>
      </c>
      <c r="J24" s="8">
        <f>IFERROR(__xludf.DUMMYFUNCTION("""COMPUTED_VALUE"""),1318.3658823529413)</f>
        <v>1318.365882</v>
      </c>
    </row>
    <row r="25">
      <c r="A25" s="1">
        <f t="shared" si="2"/>
        <v>5</v>
      </c>
      <c r="B25" s="1" t="str">
        <f>IFERROR(__xludf.DUMMYFUNCTION("""COMPUTED_VALUE"""),"Hannah Lee")</f>
        <v>Hannah Lee</v>
      </c>
      <c r="C25" s="1">
        <f>COUNTIF('Geschäfte'!$E$4:$E$253,B8)</f>
        <v>18</v>
      </c>
      <c r="D25" s="8">
        <f t="shared" si="3"/>
        <v>1251.888889</v>
      </c>
      <c r="E25" s="8"/>
      <c r="G25" s="6">
        <f>IFERROR(__xludf.DUMMYFUNCTION("""COMPUTED_VALUE"""),5.0)</f>
        <v>5</v>
      </c>
      <c r="H25" s="1" t="str">
        <f>IFERROR(__xludf.DUMMYFUNCTION("""COMPUTED_VALUE"""),"Hannah Lee")</f>
        <v>Hannah Lee</v>
      </c>
      <c r="I25" s="1">
        <f>IFERROR(__xludf.DUMMYFUNCTION("""COMPUTED_VALUE"""),18.0)</f>
        <v>18</v>
      </c>
      <c r="J25" s="8">
        <f>IFERROR(__xludf.DUMMYFUNCTION("""COMPUTED_VALUE"""),1251.888888888889)</f>
        <v>1251.888889</v>
      </c>
    </row>
    <row r="26">
      <c r="A26" s="1">
        <f t="shared" si="2"/>
        <v>10</v>
      </c>
      <c r="B26" s="1" t="str">
        <f>IFERROR(__xludf.DUMMYFUNCTION("""COMPUTED_VALUE"""),"James Park")</f>
        <v>James Park</v>
      </c>
      <c r="C26" s="1">
        <f>COUNTIF('Geschäfte'!$E$4:$E$253,B9)</f>
        <v>15</v>
      </c>
      <c r="D26" s="8">
        <f t="shared" si="3"/>
        <v>1013.009333</v>
      </c>
      <c r="E26" s="8"/>
      <c r="G26" s="6">
        <f>IFERROR(__xludf.DUMMYFUNCTION("""COMPUTED_VALUE"""),6.0)</f>
        <v>6</v>
      </c>
      <c r="H26" s="1" t="str">
        <f>IFERROR(__xludf.DUMMYFUNCTION("""COMPUTED_VALUE"""),"Aisha Hassan")</f>
        <v>Aisha Hassan</v>
      </c>
      <c r="I26" s="1">
        <f>IFERROR(__xludf.DUMMYFUNCTION("""COMPUTED_VALUE"""),28.0)</f>
        <v>28</v>
      </c>
      <c r="J26" s="8">
        <f>IFERROR(__xludf.DUMMYFUNCTION("""COMPUTED_VALUE"""),1209.6839285714282)</f>
        <v>1209.683929</v>
      </c>
    </row>
    <row r="27">
      <c r="A27" s="1">
        <f t="shared" si="2"/>
        <v>2</v>
      </c>
      <c r="B27" s="1" t="str">
        <f>IFERROR(__xludf.DUMMYFUNCTION("""COMPUTED_VALUE"""),"Marcus Johnson")</f>
        <v>Marcus Johnson</v>
      </c>
      <c r="C27" s="1">
        <f>COUNTIF('Geschäfte'!$E$4:$E$253,B10)</f>
        <v>37</v>
      </c>
      <c r="D27" s="8">
        <f t="shared" si="3"/>
        <v>2133.837027</v>
      </c>
      <c r="E27" s="8"/>
      <c r="G27" s="6">
        <f>IFERROR(__xludf.DUMMYFUNCTION("""COMPUTED_VALUE"""),7.0)</f>
        <v>7</v>
      </c>
      <c r="H27" s="1" t="str">
        <f>IFERROR(__xludf.DUMMYFUNCTION("""COMPUTED_VALUE"""),"Elena Rossi")</f>
        <v>Elena Rossi</v>
      </c>
      <c r="I27" s="1">
        <f>IFERROR(__xludf.DUMMYFUNCTION("""COMPUTED_VALUE"""),17.0)</f>
        <v>17</v>
      </c>
      <c r="J27" s="8">
        <f>IFERROR(__xludf.DUMMYFUNCTION("""COMPUTED_VALUE"""),1190.4423529411763)</f>
        <v>1190.442353</v>
      </c>
    </row>
    <row r="28">
      <c r="A28" s="1">
        <f t="shared" si="2"/>
        <v>1</v>
      </c>
      <c r="B28" s="1" t="str">
        <f>IFERROR(__xludf.DUMMYFUNCTION("""COMPUTED_VALUE"""),"Nina Petrov")</f>
        <v>Nina Petrov</v>
      </c>
      <c r="C28" s="1">
        <f>COUNTIF('Geschäfte'!$E$4:$E$253,B11)</f>
        <v>22</v>
      </c>
      <c r="D28" s="8">
        <f t="shared" si="3"/>
        <v>2944.306364</v>
      </c>
      <c r="E28" s="8"/>
      <c r="G28" s="6">
        <f>IFERROR(__xludf.DUMMYFUNCTION("""COMPUTED_VALUE"""),8.0)</f>
        <v>8</v>
      </c>
      <c r="H28" s="1" t="str">
        <f>IFERROR(__xludf.DUMMYFUNCTION("""COMPUTED_VALUE"""),"Sophie Laurent")</f>
        <v>Sophie Laurent</v>
      </c>
      <c r="I28" s="1">
        <f>IFERROR(__xludf.DUMMYFUNCTION("""COMPUTED_VALUE"""),13.0)</f>
        <v>13</v>
      </c>
      <c r="J28" s="8">
        <f>IFERROR(__xludf.DUMMYFUNCTION("""COMPUTED_VALUE"""),1167.893076923077)</f>
        <v>1167.893077</v>
      </c>
    </row>
    <row r="29">
      <c r="A29" s="1">
        <f t="shared" si="2"/>
        <v>12</v>
      </c>
      <c r="B29" s="1" t="str">
        <f>IFERROR(__xludf.DUMMYFUNCTION("""COMPUTED_VALUE"""),"Priya Patel")</f>
        <v>Priya Patel</v>
      </c>
      <c r="C29" s="1">
        <f>COUNTIF('Geschäfte'!$E$4:$E$253,B12)</f>
        <v>21</v>
      </c>
      <c r="D29" s="8">
        <f t="shared" si="3"/>
        <v>490.9333333</v>
      </c>
      <c r="E29" s="8"/>
      <c r="G29" s="6">
        <f>IFERROR(__xludf.DUMMYFUNCTION("""COMPUTED_VALUE"""),9.0)</f>
        <v>9</v>
      </c>
      <c r="H29" s="1" t="str">
        <f>IFERROR(__xludf.DUMMYFUNCTION("""COMPUTED_VALUE"""),"Carlos Mendez")</f>
        <v>Carlos Mendez</v>
      </c>
      <c r="I29" s="1">
        <f>IFERROR(__xludf.DUMMYFUNCTION("""COMPUTED_VALUE"""),23.0)</f>
        <v>23</v>
      </c>
      <c r="J29" s="8">
        <f>IFERROR(__xludf.DUMMYFUNCTION("""COMPUTED_VALUE"""),1074.3995652173912)</f>
        <v>1074.399565</v>
      </c>
    </row>
    <row r="30">
      <c r="A30" s="1">
        <f t="shared" si="2"/>
        <v>4</v>
      </c>
      <c r="B30" s="1" t="str">
        <f>IFERROR(__xludf.DUMMYFUNCTION("""COMPUTED_VALUE"""),"Raj Sharma")</f>
        <v>Raj Sharma</v>
      </c>
      <c r="C30" s="1">
        <f>COUNTIF('Geschäfte'!$E$4:$E$253,B13)</f>
        <v>17</v>
      </c>
      <c r="D30" s="8">
        <f t="shared" si="3"/>
        <v>1318.365882</v>
      </c>
      <c r="E30" s="8"/>
      <c r="G30" s="6">
        <f>IFERROR(__xludf.DUMMYFUNCTION("""COMPUTED_VALUE"""),10.0)</f>
        <v>10</v>
      </c>
      <c r="H30" s="1" t="str">
        <f>IFERROR(__xludf.DUMMYFUNCTION("""COMPUTED_VALUE"""),"James Park")</f>
        <v>James Park</v>
      </c>
      <c r="I30" s="1">
        <f>IFERROR(__xludf.DUMMYFUNCTION("""COMPUTED_VALUE"""),15.0)</f>
        <v>15</v>
      </c>
      <c r="J30" s="8">
        <f>IFERROR(__xludf.DUMMYFUNCTION("""COMPUTED_VALUE"""),1013.0093333333335)</f>
        <v>1013.009333</v>
      </c>
    </row>
    <row r="31">
      <c r="A31" s="1">
        <f t="shared" si="2"/>
        <v>8</v>
      </c>
      <c r="B31" s="1" t="str">
        <f>IFERROR(__xludf.DUMMYFUNCTION("""COMPUTED_VALUE"""),"Sophie Laurent")</f>
        <v>Sophie Laurent</v>
      </c>
      <c r="C31" s="1">
        <f>COUNTIF('Geschäfte'!$E$4:$E$253,B14)</f>
        <v>13</v>
      </c>
      <c r="D31" s="8">
        <f t="shared" si="3"/>
        <v>1167.893077</v>
      </c>
      <c r="E31" s="8"/>
    </row>
    <row r="32">
      <c r="A32" s="1">
        <f t="shared" si="2"/>
        <v>11</v>
      </c>
      <c r="B32" s="1" t="str">
        <f>IFERROR(__xludf.DUMMYFUNCTION("""COMPUTED_VALUE"""),"Tom Wilson")</f>
        <v>Tom Wilson</v>
      </c>
      <c r="C32" s="1">
        <f>COUNTIF('Geschäfte'!$E$4:$E$253,B15)</f>
        <v>16</v>
      </c>
      <c r="D32" s="8">
        <f t="shared" si="3"/>
        <v>962.61375</v>
      </c>
      <c r="E32" s="8"/>
    </row>
    <row r="36">
      <c r="A36" s="20" t="s">
        <v>750</v>
      </c>
      <c r="B36" s="20"/>
      <c r="C36" s="20"/>
      <c r="D36" s="20"/>
      <c r="E36" s="20"/>
      <c r="F36" s="16"/>
      <c r="G36" s="16"/>
      <c r="H36" s="16"/>
      <c r="I36" s="16"/>
      <c r="J36" s="16"/>
      <c r="K36" s="16"/>
    </row>
    <row r="37">
      <c r="A37" s="1" t="s">
        <v>0</v>
      </c>
      <c r="B37" s="1" t="s">
        <v>2</v>
      </c>
      <c r="C37" s="1" t="s">
        <v>3</v>
      </c>
      <c r="D37" s="1" t="s">
        <v>4</v>
      </c>
      <c r="E37" s="1" t="s">
        <v>6</v>
      </c>
      <c r="F37" s="1" t="s">
        <v>7</v>
      </c>
      <c r="G37" s="1" t="s">
        <v>8</v>
      </c>
      <c r="H37" s="1" t="s">
        <v>9</v>
      </c>
      <c r="I37" s="8" t="s">
        <v>10</v>
      </c>
      <c r="J37" s="9" t="s">
        <v>11</v>
      </c>
      <c r="K37" s="1" t="s">
        <v>311</v>
      </c>
    </row>
    <row r="38">
      <c r="A38" s="1" t="str">
        <f>IFERROR(__xludf.DUMMYFUNCTION("SORT(FILTER('Geschäfte'!A4:J253,'Geschäfte'!J4:J253&gt;=LARGE('Geschäfte'!J4:J253,10)),10,FALSE)"),"D-1107")</f>
        <v>D-1107</v>
      </c>
      <c r="B38" s="10">
        <f>IFERROR(__xludf.DUMMYFUNCTION("""COMPUTED_VALUE"""),45685.0)</f>
        <v>45685</v>
      </c>
      <c r="C38" s="1" t="str">
        <f>IFERROR(__xludf.DUMMYFUNCTION("""COMPUTED_VALUE"""),"Nova Inc")</f>
        <v>Nova Inc</v>
      </c>
      <c r="D38" s="1" t="str">
        <f>IFERROR(__xludf.DUMMYFUNCTION("""COMPUTED_VALUE"""),"Enterprise Plan")</f>
        <v>Enterprise Plan</v>
      </c>
      <c r="E38" s="1" t="str">
        <f>IFERROR(__xludf.DUMMYFUNCTION("""COMPUTED_VALUE"""),"Nina Petrov")</f>
        <v>Nina Petrov</v>
      </c>
      <c r="F38" s="1" t="str">
        <f>IFERROR(__xludf.DUMMYFUNCTION("""COMPUTED_VALUE"""),"Lukas Becker")</f>
        <v>Lukas Becker</v>
      </c>
      <c r="G38" s="1" t="str">
        <f>IFERROR(__xludf.DUMMYFUNCTION("""COMPUTED_VALUE"""),"APAC")</f>
        <v>APAC</v>
      </c>
      <c r="H38" s="1">
        <f>IFERROR(__xludf.DUMMYFUNCTION("""COMPUTED_VALUE"""),50.0)</f>
        <v>50</v>
      </c>
      <c r="I38" s="8">
        <f>IFERROR(__xludf.DUMMYFUNCTION("""COMPUTED_VALUE"""),932.32)</f>
        <v>932.32</v>
      </c>
      <c r="J38" s="8">
        <f>IFERROR(__xludf.DUMMYFUNCTION("""COMPUTED_VALUE"""),46616.0)</f>
        <v>46616</v>
      </c>
      <c r="K38" s="7">
        <f t="shared" ref="K38:K47" si="4">_xlfn.RANK.EQ(J38,$J$38:$J$47,0)</f>
        <v>1</v>
      </c>
    </row>
    <row r="39">
      <c r="A39" s="1" t="str">
        <f>IFERROR(__xludf.DUMMYFUNCTION("""COMPUTED_VALUE"""),"D-1248")</f>
        <v>D-1248</v>
      </c>
      <c r="B39" s="10">
        <f>IFERROR(__xludf.DUMMYFUNCTION("""COMPUTED_VALUE"""),45728.0)</f>
        <v>45728</v>
      </c>
      <c r="C39" s="1" t="str">
        <f>IFERROR(__xludf.DUMMYFUNCTION("""COMPUTED_VALUE"""),"Quanta Labs")</f>
        <v>Quanta Labs</v>
      </c>
      <c r="D39" s="1" t="str">
        <f>IFERROR(__xludf.DUMMYFUNCTION("""COMPUTED_VALUE"""),"Enterprise Plan")</f>
        <v>Enterprise Plan</v>
      </c>
      <c r="E39" s="1" t="str">
        <f>IFERROR(__xludf.DUMMYFUNCTION("""COMPUTED_VALUE"""),"David Kim")</f>
        <v>David Kim</v>
      </c>
      <c r="F39" s="1" t="str">
        <f>IFERROR(__xludf.DUMMYFUNCTION("""COMPUTED_VALUE"""),"Sarah Chen")</f>
        <v>Sarah Chen</v>
      </c>
      <c r="G39" s="1" t="str">
        <f>IFERROR(__xludf.DUMMYFUNCTION("""COMPUTED_VALUE"""),"LATAM")</f>
        <v>LATAM</v>
      </c>
      <c r="H39" s="1">
        <f>IFERROR(__xludf.DUMMYFUNCTION("""COMPUTED_VALUE"""),20.0)</f>
        <v>20</v>
      </c>
      <c r="I39" s="8">
        <f>IFERROR(__xludf.DUMMYFUNCTION("""COMPUTED_VALUE"""),1203.23)</f>
        <v>1203.23</v>
      </c>
      <c r="J39" s="8">
        <f>IFERROR(__xludf.DUMMYFUNCTION("""COMPUTED_VALUE"""),24064.6)</f>
        <v>24064.6</v>
      </c>
      <c r="K39" s="7">
        <f t="shared" si="4"/>
        <v>2</v>
      </c>
    </row>
    <row r="40">
      <c r="A40" s="1" t="str">
        <f>IFERROR(__xludf.DUMMYFUNCTION("""COMPUTED_VALUE"""),"D-1106")</f>
        <v>D-1106</v>
      </c>
      <c r="B40" s="10">
        <f>IFERROR(__xludf.DUMMYFUNCTION("""COMPUTED_VALUE"""),45674.0)</f>
        <v>45674</v>
      </c>
      <c r="C40" s="1" t="str">
        <f>IFERROR(__xludf.DUMMYFUNCTION("""COMPUTED_VALUE"""),"Vertex Inc")</f>
        <v>Vertex Inc</v>
      </c>
      <c r="D40" s="1" t="str">
        <f>IFERROR(__xludf.DUMMYFUNCTION("""COMPUTED_VALUE"""),"Enterprise Plan")</f>
        <v>Enterprise Plan</v>
      </c>
      <c r="E40" s="1" t="str">
        <f>IFERROR(__xludf.DUMMYFUNCTION("""COMPUTED_VALUE"""),"Marcus Johnson")</f>
        <v>Marcus Johnson</v>
      </c>
      <c r="F40" s="1" t="str">
        <f>IFERROR(__xludf.DUMMYFUNCTION("""COMPUTED_VALUE"""),"Sarah Chen")</f>
        <v>Sarah Chen</v>
      </c>
      <c r="G40" s="1" t="str">
        <f>IFERROR(__xludf.DUMMYFUNCTION("""COMPUTED_VALUE"""),"LATAM")</f>
        <v>LATAM</v>
      </c>
      <c r="H40" s="1">
        <f>IFERROR(__xludf.DUMMYFUNCTION("""COMPUTED_VALUE"""),20.0)</f>
        <v>20</v>
      </c>
      <c r="I40" s="8">
        <f>IFERROR(__xludf.DUMMYFUNCTION("""COMPUTED_VALUE"""),1180.76)</f>
        <v>1180.76</v>
      </c>
      <c r="J40" s="8">
        <f>IFERROR(__xludf.DUMMYFUNCTION("""COMPUTED_VALUE"""),23615.2)</f>
        <v>23615.2</v>
      </c>
      <c r="K40" s="7">
        <f t="shared" si="4"/>
        <v>3</v>
      </c>
    </row>
    <row r="41">
      <c r="A41" s="1" t="str">
        <f>IFERROR(__xludf.DUMMYFUNCTION("""COMPUTED_VALUE"""),"D-1178")</f>
        <v>D-1178</v>
      </c>
      <c r="B41" s="10">
        <f>IFERROR(__xludf.DUMMYFUNCTION("""COMPUTED_VALUE"""),45687.0)</f>
        <v>45687</v>
      </c>
      <c r="C41" s="1" t="str">
        <f>IFERROR(__xludf.DUMMYFUNCTION("""COMPUTED_VALUE"""),"Verdant Inc")</f>
        <v>Verdant Inc</v>
      </c>
      <c r="D41" s="1" t="str">
        <f>IFERROR(__xludf.DUMMYFUNCTION("""COMPUTED_VALUE"""),"Enterprise Plan")</f>
        <v>Enterprise Plan</v>
      </c>
      <c r="E41" s="1" t="str">
        <f>IFERROR(__xludf.DUMMYFUNCTION("""COMPUTED_VALUE"""),"Marcus Johnson")</f>
        <v>Marcus Johnson</v>
      </c>
      <c r="F41" s="1" t="str">
        <f>IFERROR(__xludf.DUMMYFUNCTION("""COMPUTED_VALUE"""),"Sarah Chen")</f>
        <v>Sarah Chen</v>
      </c>
      <c r="G41" s="1" t="str">
        <f>IFERROR(__xludf.DUMMYFUNCTION("""COMPUTED_VALUE"""),"EMEA")</f>
        <v>EMEA</v>
      </c>
      <c r="H41" s="1">
        <f>IFERROR(__xludf.DUMMYFUNCTION("""COMPUTED_VALUE"""),20.0)</f>
        <v>20</v>
      </c>
      <c r="I41" s="8">
        <f>IFERROR(__xludf.DUMMYFUNCTION("""COMPUTED_VALUE"""),1004.37)</f>
        <v>1004.37</v>
      </c>
      <c r="J41" s="8">
        <f>IFERROR(__xludf.DUMMYFUNCTION("""COMPUTED_VALUE"""),20087.4)</f>
        <v>20087.4</v>
      </c>
      <c r="K41" s="7">
        <f t="shared" si="4"/>
        <v>4</v>
      </c>
    </row>
    <row r="42">
      <c r="A42" s="1" t="str">
        <f>IFERROR(__xludf.DUMMYFUNCTION("""COMPUTED_VALUE"""),"D-1003")</f>
        <v>D-1003</v>
      </c>
      <c r="B42" s="10">
        <f>IFERROR(__xludf.DUMMYFUNCTION("""COMPUTED_VALUE"""),45685.0)</f>
        <v>45685</v>
      </c>
      <c r="C42" s="1" t="str">
        <f>IFERROR(__xludf.DUMMYFUNCTION("""COMPUTED_VALUE"""),"Citadel Group")</f>
        <v>Citadel Group</v>
      </c>
      <c r="D42" s="1" t="str">
        <f>IFERROR(__xludf.DUMMYFUNCTION("""COMPUTED_VALUE"""),"Enterprise Plan")</f>
        <v>Enterprise Plan</v>
      </c>
      <c r="E42" s="1" t="str">
        <f>IFERROR(__xludf.DUMMYFUNCTION("""COMPUTED_VALUE"""),"Carlos Mendez")</f>
        <v>Carlos Mendez</v>
      </c>
      <c r="F42" s="1" t="str">
        <f>IFERROR(__xludf.DUMMYFUNCTION("""COMPUTED_VALUE"""),"Maya Rodriguez")</f>
        <v>Maya Rodriguez</v>
      </c>
      <c r="G42" s="1" t="str">
        <f>IFERROR(__xludf.DUMMYFUNCTION("""COMPUTED_VALUE"""),"EMEA")</f>
        <v>EMEA</v>
      </c>
      <c r="H42" s="1">
        <f>IFERROR(__xludf.DUMMYFUNCTION("""COMPUTED_VALUE"""),10.0)</f>
        <v>10</v>
      </c>
      <c r="I42" s="8">
        <f>IFERROR(__xludf.DUMMYFUNCTION("""COMPUTED_VALUE"""),1330.75)</f>
        <v>1330.75</v>
      </c>
      <c r="J42" s="8">
        <f>IFERROR(__xludf.DUMMYFUNCTION("""COMPUTED_VALUE"""),13307.5)</f>
        <v>13307.5</v>
      </c>
      <c r="K42" s="7">
        <f t="shared" si="4"/>
        <v>5</v>
      </c>
    </row>
    <row r="43">
      <c r="A43" s="1" t="str">
        <f>IFERROR(__xludf.DUMMYFUNCTION("""COMPUTED_VALUE"""),"D-1044")</f>
        <v>D-1044</v>
      </c>
      <c r="B43" s="10">
        <f>IFERROR(__xludf.DUMMYFUNCTION("""COMPUTED_VALUE"""),45697.0)</f>
        <v>45697</v>
      </c>
      <c r="C43" s="1" t="str">
        <f>IFERROR(__xludf.DUMMYFUNCTION("""COMPUTED_VALUE"""),"Arcadia Inc")</f>
        <v>Arcadia Inc</v>
      </c>
      <c r="D43" s="1" t="str">
        <f>IFERROR(__xludf.DUMMYFUNCTION("""COMPUTED_VALUE"""),"Enterprise Plan")</f>
        <v>Enterprise Plan</v>
      </c>
      <c r="E43" s="1" t="str">
        <f>IFERROR(__xludf.DUMMYFUNCTION("""COMPUTED_VALUE"""),"Aisha Hassan")</f>
        <v>Aisha Hassan</v>
      </c>
      <c r="F43" s="1" t="str">
        <f>IFERROR(__xludf.DUMMYFUNCTION("""COMPUTED_VALUE"""),"Sarah Chen")</f>
        <v>Sarah Chen</v>
      </c>
      <c r="G43" s="1" t="str">
        <f>IFERROR(__xludf.DUMMYFUNCTION("""COMPUTED_VALUE"""),"APAC")</f>
        <v>APAC</v>
      </c>
      <c r="H43" s="1">
        <f>IFERROR(__xludf.DUMMYFUNCTION("""COMPUTED_VALUE"""),10.0)</f>
        <v>10</v>
      </c>
      <c r="I43" s="8">
        <f>IFERROR(__xludf.DUMMYFUNCTION("""COMPUTED_VALUE"""),1118.07)</f>
        <v>1118.07</v>
      </c>
      <c r="J43" s="8">
        <f>IFERROR(__xludf.DUMMYFUNCTION("""COMPUTED_VALUE"""),11180.699999999999)</f>
        <v>11180.7</v>
      </c>
      <c r="K43" s="7">
        <f t="shared" si="4"/>
        <v>6</v>
      </c>
    </row>
    <row r="44">
      <c r="A44" s="1" t="str">
        <f>IFERROR(__xludf.DUMMYFUNCTION("""COMPUTED_VALUE"""),"D-1109")</f>
        <v>D-1109</v>
      </c>
      <c r="B44" s="10">
        <f>IFERROR(__xludf.DUMMYFUNCTION("""COMPUTED_VALUE"""),45674.0)</f>
        <v>45674</v>
      </c>
      <c r="C44" s="1" t="str">
        <f>IFERROR(__xludf.DUMMYFUNCTION("""COMPUTED_VALUE"""),"Stellar Co")</f>
        <v>Stellar Co</v>
      </c>
      <c r="D44" s="1" t="str">
        <f>IFERROR(__xludf.DUMMYFUNCTION("""COMPUTED_VALUE"""),"Pro Plan")</f>
        <v>Pro Plan</v>
      </c>
      <c r="E44" s="1" t="str">
        <f>IFERROR(__xludf.DUMMYFUNCTION("""COMPUTED_VALUE"""),"Aisha Hassan")</f>
        <v>Aisha Hassan</v>
      </c>
      <c r="F44" s="1" t="str">
        <f>IFERROR(__xludf.DUMMYFUNCTION("""COMPUTED_VALUE"""),"Sarah Chen")</f>
        <v>Sarah Chen</v>
      </c>
      <c r="G44" s="1" t="str">
        <f>IFERROR(__xludf.DUMMYFUNCTION("""COMPUTED_VALUE"""),"North America")</f>
        <v>North America</v>
      </c>
      <c r="H44" s="1">
        <f>IFERROR(__xludf.DUMMYFUNCTION("""COMPUTED_VALUE"""),50.0)</f>
        <v>50</v>
      </c>
      <c r="I44" s="8">
        <f>IFERROR(__xludf.DUMMYFUNCTION("""COMPUTED_VALUE"""),214.71)</f>
        <v>214.71</v>
      </c>
      <c r="J44" s="8">
        <f>IFERROR(__xludf.DUMMYFUNCTION("""COMPUTED_VALUE"""),10735.5)</f>
        <v>10735.5</v>
      </c>
      <c r="K44" s="7">
        <f t="shared" si="4"/>
        <v>7</v>
      </c>
    </row>
    <row r="45">
      <c r="A45" s="1" t="str">
        <f>IFERROR(__xludf.DUMMYFUNCTION("""COMPUTED_VALUE"""),"D-1168")</f>
        <v>D-1168</v>
      </c>
      <c r="B45" s="10">
        <f>IFERROR(__xludf.DUMMYFUNCTION("""COMPUTED_VALUE"""),45744.0)</f>
        <v>45744</v>
      </c>
      <c r="C45" s="1" t="str">
        <f>IFERROR(__xludf.DUMMYFUNCTION("""COMPUTED_VALUE"""),"Iris Co")</f>
        <v>Iris Co</v>
      </c>
      <c r="D45" s="1" t="str">
        <f>IFERROR(__xludf.DUMMYFUNCTION("""COMPUTED_VALUE"""),"Pro Plan")</f>
        <v>Pro Plan</v>
      </c>
      <c r="E45" s="1" t="str">
        <f>IFERROR(__xludf.DUMMYFUNCTION("""COMPUTED_VALUE"""),"Nina Petrov")</f>
        <v>Nina Petrov</v>
      </c>
      <c r="F45" s="1" t="str">
        <f>IFERROR(__xludf.DUMMYFUNCTION("""COMPUTED_VALUE"""),"Lukas Becker")</f>
        <v>Lukas Becker</v>
      </c>
      <c r="G45" s="1" t="str">
        <f>IFERROR(__xludf.DUMMYFUNCTION("""COMPUTED_VALUE"""),"LATAM")</f>
        <v>LATAM</v>
      </c>
      <c r="H45" s="1">
        <f>IFERROR(__xludf.DUMMYFUNCTION("""COMPUTED_VALUE"""),50.0)</f>
        <v>50</v>
      </c>
      <c r="I45" s="8">
        <f>IFERROR(__xludf.DUMMYFUNCTION("""COMPUTED_VALUE"""),201.51)</f>
        <v>201.51</v>
      </c>
      <c r="J45" s="8">
        <f>IFERROR(__xludf.DUMMYFUNCTION("""COMPUTED_VALUE"""),10075.5)</f>
        <v>10075.5</v>
      </c>
      <c r="K45" s="7">
        <f t="shared" si="4"/>
        <v>8</v>
      </c>
    </row>
    <row r="46">
      <c r="A46" s="1" t="str">
        <f>IFERROR(__xludf.DUMMYFUNCTION("""COMPUTED_VALUE"""),"D-1154")</f>
        <v>D-1154</v>
      </c>
      <c r="B46" s="10">
        <f>IFERROR(__xludf.DUMMYFUNCTION("""COMPUTED_VALUE"""),45707.0)</f>
        <v>45707</v>
      </c>
      <c r="C46" s="1" t="str">
        <f>IFERROR(__xludf.DUMMYFUNCTION("""COMPUTED_VALUE"""),"Citadel Group")</f>
        <v>Citadel Group</v>
      </c>
      <c r="D46" s="1" t="str">
        <f>IFERROR(__xludf.DUMMYFUNCTION("""COMPUTED_VALUE"""),"Enterprise Plan")</f>
        <v>Enterprise Plan</v>
      </c>
      <c r="E46" s="1" t="str">
        <f>IFERROR(__xludf.DUMMYFUNCTION("""COMPUTED_VALUE"""),"Marcus Johnson")</f>
        <v>Marcus Johnson</v>
      </c>
      <c r="F46" s="1" t="str">
        <f>IFERROR(__xludf.DUMMYFUNCTION("""COMPUTED_VALUE"""),"Sarah Chen")</f>
        <v>Sarah Chen</v>
      </c>
      <c r="G46" s="1" t="str">
        <f>IFERROR(__xludf.DUMMYFUNCTION("""COMPUTED_VALUE"""),"APAC")</f>
        <v>APAC</v>
      </c>
      <c r="H46" s="1">
        <f>IFERROR(__xludf.DUMMYFUNCTION("""COMPUTED_VALUE"""),10.0)</f>
        <v>10</v>
      </c>
      <c r="I46" s="8">
        <f>IFERROR(__xludf.DUMMYFUNCTION("""COMPUTED_VALUE"""),987.06)</f>
        <v>987.06</v>
      </c>
      <c r="J46" s="8">
        <f>IFERROR(__xludf.DUMMYFUNCTION("""COMPUTED_VALUE"""),9870.599999999999)</f>
        <v>9870.6</v>
      </c>
      <c r="K46" s="7">
        <f t="shared" si="4"/>
        <v>9</v>
      </c>
    </row>
    <row r="47">
      <c r="A47" s="1" t="str">
        <f>IFERROR(__xludf.DUMMYFUNCTION("""COMPUTED_VALUE"""),"D-1093")</f>
        <v>D-1093</v>
      </c>
      <c r="B47" s="10">
        <f>IFERROR(__xludf.DUMMYFUNCTION("""COMPUTED_VALUE"""),45684.0)</f>
        <v>45684</v>
      </c>
      <c r="C47" s="1" t="str">
        <f>IFERROR(__xludf.DUMMYFUNCTION("""COMPUTED_VALUE"""),"Obsidian Co")</f>
        <v>Obsidian Co</v>
      </c>
      <c r="D47" s="1" t="str">
        <f>IFERROR(__xludf.DUMMYFUNCTION("""COMPUTED_VALUE"""),"Business Plan")</f>
        <v>Business Plan</v>
      </c>
      <c r="E47" s="1" t="str">
        <f>IFERROR(__xludf.DUMMYFUNCTION("""COMPUTED_VALUE"""),"Elena Rossi")</f>
        <v>Elena Rossi</v>
      </c>
      <c r="F47" s="1" t="str">
        <f>IFERROR(__xludf.DUMMYFUNCTION("""COMPUTED_VALUE"""),"Lukas Becker")</f>
        <v>Lukas Becker</v>
      </c>
      <c r="G47" s="1" t="str">
        <f>IFERROR(__xludf.DUMMYFUNCTION("""COMPUTED_VALUE"""),"APAC")</f>
        <v>APAC</v>
      </c>
      <c r="H47" s="1">
        <f>IFERROR(__xludf.DUMMYFUNCTION("""COMPUTED_VALUE"""),20.0)</f>
        <v>20</v>
      </c>
      <c r="I47" s="8">
        <f>IFERROR(__xludf.DUMMYFUNCTION("""COMPUTED_VALUE"""),487.09)</f>
        <v>487.09</v>
      </c>
      <c r="J47" s="8">
        <f>IFERROR(__xludf.DUMMYFUNCTION("""COMPUTED_VALUE"""),9741.8)</f>
        <v>9741.8</v>
      </c>
      <c r="K47" s="7">
        <f t="shared" si="4"/>
        <v>10</v>
      </c>
    </row>
    <row r="48">
      <c r="H48" s="1"/>
      <c r="I48" s="6" t="s">
        <v>801</v>
      </c>
      <c r="J48" s="21">
        <f>SUM(J38:J47)</f>
        <v>179294.8</v>
      </c>
    </row>
  </sheetData>
  <mergeCells count="1">
    <mergeCell ref="A2:C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75"/>
    <col customWidth="1" min="2" max="2" width="28.38"/>
    <col customWidth="1" min="5" max="5" width="16.38"/>
    <col customWidth="1" min="6" max="6" width="16.0"/>
    <col customWidth="1" min="10" max="10" width="13.5"/>
    <col customWidth="1" min="11" max="11" width="13.13"/>
    <col customWidth="1" min="12" max="12" width="30.13"/>
    <col customWidth="1" min="13" max="13" width="32.75"/>
    <col customWidth="1" min="14" max="15" width="19.38"/>
    <col customWidth="1" min="16" max="16" width="27.5"/>
    <col customWidth="1" min="17" max="17" width="22.13"/>
    <col customWidth="1" min="18" max="18" width="21.25"/>
    <col customWidth="1" min="19" max="19" width="14.0"/>
    <col customWidth="1" min="20" max="20" width="15.75"/>
    <col customWidth="1" min="21" max="21" width="18.38"/>
    <col customWidth="1" min="22" max="22" width="17.75"/>
  </cols>
  <sheetData>
    <row r="1">
      <c r="A1" s="28" t="s">
        <v>816</v>
      </c>
      <c r="B1" s="2"/>
      <c r="C1" s="2"/>
      <c r="D1" s="2"/>
      <c r="E1" s="29" t="s">
        <v>817</v>
      </c>
      <c r="F1" s="29"/>
      <c r="G1" s="29"/>
      <c r="H1" s="29"/>
      <c r="I1" s="2"/>
      <c r="J1" s="2"/>
      <c r="K1" s="2"/>
      <c r="L1" s="2"/>
      <c r="M1" s="2"/>
      <c r="N1" s="2"/>
      <c r="O1" s="2"/>
      <c r="P1" s="2"/>
      <c r="Q1" s="2"/>
      <c r="R1" s="2"/>
      <c r="S1" s="2"/>
      <c r="T1" s="2"/>
      <c r="U1" s="2"/>
      <c r="V1" s="2"/>
      <c r="W1" s="2"/>
      <c r="X1" s="2"/>
      <c r="Y1" s="2"/>
      <c r="Z1" s="2"/>
    </row>
    <row r="2">
      <c r="A2" s="30"/>
      <c r="B2" s="30"/>
      <c r="C2" s="30"/>
      <c r="D2" s="30"/>
      <c r="E2" s="30"/>
      <c r="F2" s="30"/>
      <c r="G2" s="30"/>
      <c r="H2" s="30"/>
      <c r="I2" s="30"/>
      <c r="J2" s="30"/>
      <c r="K2" s="30"/>
      <c r="L2" s="30"/>
      <c r="R2" s="30"/>
      <c r="S2" s="30"/>
      <c r="X2" s="30"/>
      <c r="Y2" s="30"/>
      <c r="Z2" s="30"/>
    </row>
    <row r="3">
      <c r="A3" s="30"/>
      <c r="B3" s="30"/>
      <c r="C3" s="30"/>
      <c r="D3" s="30"/>
      <c r="E3" s="31" t="s">
        <v>818</v>
      </c>
      <c r="F3" s="31" t="s">
        <v>145</v>
      </c>
      <c r="G3" s="32" t="s">
        <v>171</v>
      </c>
      <c r="H3" s="32" t="s">
        <v>172</v>
      </c>
      <c r="I3" s="32" t="s">
        <v>151</v>
      </c>
      <c r="J3" s="32" t="s">
        <v>119</v>
      </c>
      <c r="K3" s="32" t="s">
        <v>819</v>
      </c>
      <c r="L3" s="32" t="s">
        <v>820</v>
      </c>
      <c r="M3" s="32" t="s">
        <v>821</v>
      </c>
      <c r="S3" s="30"/>
      <c r="X3" s="30"/>
      <c r="Y3" s="30"/>
      <c r="Z3" s="30"/>
    </row>
    <row r="4">
      <c r="A4" s="30"/>
      <c r="B4" s="30"/>
      <c r="C4" s="30"/>
      <c r="D4" s="30"/>
      <c r="E4" s="3" t="str">
        <f>IFERROR(__xludf.DUMMYFUNCTION("SORT(UNIQUE(FILTER('Geschäfte'!F4:F253,'Geschäfte'!F4:F253&lt;&gt;"""")))"),"Lukas Becker")</f>
        <v>Lukas Becker</v>
      </c>
      <c r="F4" s="33">
        <f>IFERROR(__xludf.DUMMYFUNCTION("MIN(FILTER('Geschäfte'!$J$4:$J$253,'Geschäfte'!$F$4:$F$253=E4))"),46.97)</f>
        <v>46.97</v>
      </c>
      <c r="G4" s="34">
        <f>IFERROR(__xludf.DUMMYFUNCTION("QUARTILE(FILTER('Geschäfte'!$J$4:$J$253,'Geschäfte'!$F$4:$F$253=E4),1)"),128.38)</f>
        <v>128.38</v>
      </c>
      <c r="H4" s="34">
        <f>IFERROR(__xludf.DUMMYFUNCTION("QUARTILE(FILTER('Geschäfte'!$J$4:$J$253,'Geschäfte'!$F$4:$F$253=E4),3)"),1082.795)</f>
        <v>1082.795</v>
      </c>
      <c r="I4" s="34">
        <f>IFERROR(__xludf.DUMMYFUNCTION("MAX(FILTER('Geschäfte'!$J$4:$J$253,'Geschäfte'!$F$4:$F$253=E4))"),46616.0)</f>
        <v>46616</v>
      </c>
      <c r="J4" s="34">
        <f>IFERROR(__xludf.DUMMYFUNCTION("MEDIAN(FILTER('Geschäfte'!$J$4:$J$253,'Geschäfte'!$F$4:$F$253=E4))"),276.18)</f>
        <v>276.18</v>
      </c>
      <c r="K4" s="34">
        <f t="shared" ref="K4:L4" si="1">H4-G4</f>
        <v>954.415</v>
      </c>
      <c r="L4" s="34">
        <f t="shared" si="1"/>
        <v>45533.205</v>
      </c>
      <c r="M4" s="34">
        <f t="shared" ref="M4:M7" si="3">G4-F4</f>
        <v>81.41</v>
      </c>
      <c r="S4" s="30"/>
      <c r="X4" s="30"/>
      <c r="Y4" s="30"/>
      <c r="Z4" s="30"/>
    </row>
    <row r="5">
      <c r="A5" s="30"/>
      <c r="B5" s="30"/>
      <c r="C5" s="30"/>
      <c r="D5" s="30"/>
      <c r="E5" s="3" t="str">
        <f>IFERROR(__xludf.DUMMYFUNCTION("""COMPUTED_VALUE"""),"Maya Rodriguez")</f>
        <v>Maya Rodriguez</v>
      </c>
      <c r="F5" s="33">
        <f>IFERROR(__xludf.DUMMYFUNCTION("MIN(FILTER('Geschäfte'!$J$4:$J$253,'Geschäfte'!$F$4:$F$253=E5))"),45.33)</f>
        <v>45.33</v>
      </c>
      <c r="G5" s="34">
        <f>IFERROR(__xludf.DUMMYFUNCTION("QUARTILE(FILTER('Geschäfte'!$J$4:$J$253,'Geschäfte'!$F$4:$F$253=E5),1)"),114.94)</f>
        <v>114.94</v>
      </c>
      <c r="H5" s="34">
        <f>IFERROR(__xludf.DUMMYFUNCTION("QUARTILE(FILTER('Geschäfte'!$J$4:$J$253,'Geschäfte'!$F$4:$F$253=E5),3)"),958.86)</f>
        <v>958.86</v>
      </c>
      <c r="I5" s="34">
        <f>IFERROR(__xludf.DUMMYFUNCTION("MAX(FILTER('Geschäfte'!$J$4:$J$253,'Geschäfte'!$F$4:$F$253=E5))"),13307.5)</f>
        <v>13307.5</v>
      </c>
      <c r="J5" s="34">
        <f>IFERROR(__xludf.DUMMYFUNCTION("MEDIAN(FILTER('Geschäfte'!$J$4:$J$253,'Geschäfte'!$F$4:$F$253=E5))"),285.02)</f>
        <v>285.02</v>
      </c>
      <c r="K5" s="34">
        <f t="shared" ref="K5:L5" si="2">H5-G5</f>
        <v>843.92</v>
      </c>
      <c r="L5" s="34">
        <f t="shared" si="2"/>
        <v>12348.64</v>
      </c>
      <c r="M5" s="34">
        <f t="shared" si="3"/>
        <v>69.61</v>
      </c>
      <c r="S5" s="30"/>
      <c r="X5" s="30"/>
      <c r="Y5" s="30"/>
      <c r="Z5" s="30"/>
    </row>
    <row r="6">
      <c r="A6" s="30"/>
      <c r="B6" s="30"/>
      <c r="C6" s="30"/>
      <c r="D6" s="30"/>
      <c r="E6" s="3" t="str">
        <f>IFERROR(__xludf.DUMMYFUNCTION("""COMPUTED_VALUE"""),"Owen Walsh")</f>
        <v>Owen Walsh</v>
      </c>
      <c r="F6" s="33">
        <f>IFERROR(__xludf.DUMMYFUNCTION("MIN(FILTER('Geschäfte'!$J$4:$J$253,'Geschäfte'!$F$4:$F$253=E6))"),41.17)</f>
        <v>41.17</v>
      </c>
      <c r="G6" s="34">
        <f>IFERROR(__xludf.DUMMYFUNCTION("QUARTILE(FILTER('Geschäfte'!$J$4:$J$253,'Geschäfte'!$F$4:$F$253=E6),1)"),101.6625)</f>
        <v>101.6625</v>
      </c>
      <c r="H6" s="34">
        <f>IFERROR(__xludf.DUMMYFUNCTION("QUARTILE(FILTER('Geschäfte'!$J$4:$J$253,'Geschäfte'!$F$4:$F$253=E6),3)"),1939.5875)</f>
        <v>1939.5875</v>
      </c>
      <c r="I6" s="34">
        <f>IFERROR(__xludf.DUMMYFUNCTION("MAX(FILTER('Geschäfte'!$J$4:$J$253,'Geschäfte'!$F$4:$F$253=E6))"),7365.2)</f>
        <v>7365.2</v>
      </c>
      <c r="J6" s="34">
        <f>IFERROR(__xludf.DUMMYFUNCTION("MEDIAN(FILTER('Geschäfte'!$J$4:$J$253,'Geschäfte'!$F$4:$F$253=E6))"),369.52)</f>
        <v>369.52</v>
      </c>
      <c r="K6" s="34">
        <f t="shared" ref="K6:L6" si="4">H6-G6</f>
        <v>1837.925</v>
      </c>
      <c r="L6" s="34">
        <f t="shared" si="4"/>
        <v>5425.6125</v>
      </c>
      <c r="M6" s="34">
        <f t="shared" si="3"/>
        <v>60.4925</v>
      </c>
      <c r="S6" s="30"/>
      <c r="X6" s="30"/>
      <c r="Y6" s="30"/>
      <c r="Z6" s="30"/>
    </row>
    <row r="7">
      <c r="A7" s="30"/>
      <c r="B7" s="30"/>
      <c r="C7" s="30"/>
      <c r="D7" s="30"/>
      <c r="E7" s="3" t="str">
        <f>IFERROR(__xludf.DUMMYFUNCTION("""COMPUTED_VALUE"""),"Sarah Chen")</f>
        <v>Sarah Chen</v>
      </c>
      <c r="F7" s="33">
        <f>IFERROR(__xludf.DUMMYFUNCTION("MIN(FILTER('Geschäfte'!$J$4:$J$253,'Geschäfte'!$F$4:$F$253=E7))"),46.99)</f>
        <v>46.99</v>
      </c>
      <c r="G7" s="34">
        <f>IFERROR(__xludf.DUMMYFUNCTION("QUARTILE(FILTER('Geschäfte'!$J$4:$J$253,'Geschäfte'!$F$4:$F$253=E7),1)"),194.4575)</f>
        <v>194.4575</v>
      </c>
      <c r="H7" s="34">
        <f>IFERROR(__xludf.DUMMYFUNCTION("QUARTILE(FILTER('Geschäfte'!$J$4:$J$253,'Geschäfte'!$F$4:$F$253=E7),3)"),957.76)</f>
        <v>957.76</v>
      </c>
      <c r="I7" s="34">
        <f>IFERROR(__xludf.DUMMYFUNCTION("MAX(FILTER('Geschäfte'!$J$4:$J$253,'Geschäfte'!$F$4:$F$253=E7))"),24064.6)</f>
        <v>24064.6</v>
      </c>
      <c r="J7" s="34">
        <f>IFERROR(__xludf.DUMMYFUNCTION("MEDIAN(FILTER('Geschäfte'!$J$4:$J$253,'Geschäfte'!$F$4:$F$253=E7))"),427.28999999999996)</f>
        <v>427.29</v>
      </c>
      <c r="K7" s="34">
        <f t="shared" ref="K7:L7" si="5">H7-G7</f>
        <v>763.3025</v>
      </c>
      <c r="L7" s="34">
        <f t="shared" si="5"/>
        <v>23106.84</v>
      </c>
      <c r="M7" s="34">
        <f t="shared" si="3"/>
        <v>147.4675</v>
      </c>
      <c r="S7" s="30"/>
      <c r="X7" s="30"/>
      <c r="Y7" s="30"/>
      <c r="Z7" s="30"/>
    </row>
    <row r="8">
      <c r="A8" s="30"/>
      <c r="B8" s="30"/>
      <c r="C8" s="30"/>
      <c r="D8" s="30"/>
      <c r="E8" s="3"/>
      <c r="F8" s="3"/>
      <c r="G8" s="30"/>
      <c r="H8" s="30"/>
      <c r="I8" s="30"/>
      <c r="J8" s="30"/>
      <c r="K8" s="30"/>
      <c r="L8" s="30"/>
      <c r="R8" s="30"/>
      <c r="S8" s="30"/>
      <c r="X8" s="30"/>
      <c r="Y8" s="30"/>
      <c r="Z8" s="30"/>
    </row>
    <row r="9">
      <c r="A9" s="30"/>
      <c r="B9" s="30"/>
      <c r="C9" s="30"/>
      <c r="D9" s="30"/>
      <c r="E9" s="30"/>
      <c r="F9" s="30"/>
      <c r="G9" s="30"/>
      <c r="H9" s="30"/>
      <c r="I9" s="30"/>
      <c r="J9" s="30"/>
      <c r="K9" s="30"/>
      <c r="L9" s="30"/>
      <c r="R9" s="30"/>
      <c r="S9" s="30"/>
      <c r="T9" s="30"/>
      <c r="U9" s="30"/>
      <c r="V9" s="30"/>
      <c r="W9" s="30"/>
      <c r="X9" s="30"/>
      <c r="Y9" s="30"/>
      <c r="Z9" s="30"/>
    </row>
    <row r="10">
      <c r="A10" s="30"/>
      <c r="B10" s="30"/>
      <c r="C10" s="30"/>
      <c r="D10" s="30"/>
      <c r="E10" s="30"/>
      <c r="F10" s="30"/>
      <c r="G10" s="30"/>
      <c r="H10" s="30"/>
      <c r="I10" s="30"/>
      <c r="J10" s="30"/>
      <c r="K10" s="30"/>
      <c r="L10" s="30"/>
      <c r="R10" s="30"/>
      <c r="S10" s="30"/>
      <c r="T10" s="30"/>
      <c r="U10" s="30"/>
      <c r="V10" s="30"/>
      <c r="W10" s="30"/>
      <c r="X10" s="30"/>
      <c r="Y10" s="30"/>
      <c r="Z10" s="30"/>
    </row>
    <row r="11">
      <c r="A11" s="30"/>
      <c r="B11" s="30"/>
      <c r="C11" s="30"/>
      <c r="D11" s="30"/>
      <c r="E11" s="30"/>
      <c r="F11" s="30"/>
      <c r="G11" s="30"/>
      <c r="H11" s="30"/>
      <c r="I11" s="30"/>
      <c r="J11" s="30"/>
      <c r="K11" s="30"/>
      <c r="L11" s="30"/>
      <c r="R11" s="30"/>
      <c r="S11" s="30"/>
      <c r="T11" s="30"/>
      <c r="U11" s="30"/>
      <c r="V11" s="30"/>
      <c r="W11" s="30"/>
      <c r="X11" s="30"/>
      <c r="Y11" s="30"/>
      <c r="Z11" s="30"/>
    </row>
    <row r="12">
      <c r="A12" s="30"/>
      <c r="B12" s="30"/>
      <c r="C12" s="30"/>
      <c r="D12" s="30"/>
      <c r="E12" s="30"/>
      <c r="F12" s="30"/>
      <c r="G12" s="30"/>
      <c r="H12" s="30"/>
      <c r="I12" s="30"/>
      <c r="J12" s="30"/>
      <c r="K12" s="30"/>
      <c r="L12" s="30"/>
      <c r="R12" s="30"/>
      <c r="S12" s="30"/>
      <c r="T12" s="30"/>
      <c r="U12" s="30"/>
      <c r="V12" s="30"/>
      <c r="W12" s="30"/>
      <c r="X12" s="30"/>
      <c r="Y12" s="30"/>
      <c r="Z12" s="30"/>
    </row>
    <row r="13">
      <c r="A13" s="30"/>
      <c r="B13" s="30"/>
      <c r="C13" s="30"/>
      <c r="D13" s="30"/>
      <c r="E13" s="30"/>
      <c r="F13" s="30"/>
      <c r="G13" s="30"/>
      <c r="H13" s="30"/>
      <c r="I13" s="30"/>
      <c r="J13" s="30"/>
      <c r="K13" s="30"/>
      <c r="L13" s="30"/>
      <c r="R13" s="30"/>
      <c r="S13" s="30"/>
      <c r="T13" s="30"/>
      <c r="U13" s="30"/>
      <c r="V13" s="30"/>
      <c r="W13" s="30"/>
      <c r="X13" s="30"/>
      <c r="Y13" s="30"/>
      <c r="Z13" s="30"/>
    </row>
    <row r="14">
      <c r="A14" s="30"/>
      <c r="B14" s="30"/>
      <c r="C14" s="30"/>
      <c r="D14" s="30"/>
      <c r="E14" s="30"/>
      <c r="F14" s="30"/>
      <c r="G14" s="30"/>
      <c r="H14" s="30"/>
      <c r="I14" s="30"/>
      <c r="J14" s="30"/>
      <c r="K14" s="30"/>
      <c r="L14" s="30"/>
      <c r="R14" s="30"/>
      <c r="S14" s="30"/>
      <c r="T14" s="30"/>
      <c r="U14" s="30"/>
      <c r="V14" s="30"/>
      <c r="W14" s="30"/>
      <c r="X14" s="30"/>
      <c r="Y14" s="30"/>
      <c r="Z14" s="30"/>
    </row>
    <row r="15">
      <c r="A15" s="30"/>
      <c r="B15" s="30"/>
      <c r="C15" s="30"/>
      <c r="D15" s="30"/>
      <c r="E15" s="30"/>
      <c r="F15" s="30"/>
      <c r="G15" s="30"/>
      <c r="H15" s="30"/>
      <c r="I15" s="30"/>
      <c r="J15" s="30"/>
      <c r="K15" s="30"/>
      <c r="L15" s="30"/>
      <c r="R15" s="30"/>
      <c r="S15" s="30"/>
      <c r="T15" s="30"/>
      <c r="U15" s="30"/>
      <c r="V15" s="30"/>
      <c r="W15" s="30"/>
      <c r="X15" s="30"/>
      <c r="Y15" s="30"/>
      <c r="Z15" s="30"/>
    </row>
    <row r="16">
      <c r="A16" s="30"/>
      <c r="B16" s="30"/>
      <c r="C16" s="30"/>
      <c r="D16" s="30"/>
      <c r="E16" s="30"/>
      <c r="F16" s="30"/>
      <c r="G16" s="30"/>
      <c r="H16" s="30"/>
      <c r="I16" s="30"/>
      <c r="J16" s="30"/>
      <c r="K16" s="30"/>
      <c r="L16" s="30"/>
      <c r="R16" s="30"/>
      <c r="S16" s="30"/>
      <c r="T16" s="30"/>
      <c r="U16" s="30"/>
      <c r="V16" s="30"/>
      <c r="W16" s="30"/>
      <c r="X16" s="30"/>
      <c r="Y16" s="30"/>
      <c r="Z16" s="30"/>
    </row>
    <row r="17">
      <c r="A17" s="30"/>
      <c r="B17" s="30"/>
      <c r="C17" s="30"/>
      <c r="D17" s="30"/>
      <c r="E17" s="30"/>
      <c r="F17" s="30"/>
      <c r="G17" s="30"/>
      <c r="H17" s="30"/>
      <c r="I17" s="30"/>
      <c r="J17" s="30"/>
      <c r="K17" s="30"/>
      <c r="L17" s="30"/>
      <c r="R17" s="30"/>
      <c r="S17" s="30"/>
      <c r="T17" s="30"/>
      <c r="U17" s="30"/>
      <c r="V17" s="30"/>
      <c r="W17" s="30"/>
      <c r="X17" s="30"/>
      <c r="Y17" s="30"/>
      <c r="Z17" s="30"/>
    </row>
    <row r="18">
      <c r="A18" s="30"/>
      <c r="B18" s="30"/>
      <c r="C18" s="30"/>
      <c r="D18" s="30"/>
      <c r="E18" s="30"/>
      <c r="F18" s="30"/>
      <c r="G18" s="30"/>
      <c r="H18" s="30"/>
      <c r="I18" s="30"/>
      <c r="J18" s="30"/>
      <c r="K18" s="30"/>
      <c r="L18" s="30"/>
      <c r="R18" s="30"/>
      <c r="S18" s="30"/>
      <c r="T18" s="30"/>
      <c r="U18" s="30"/>
      <c r="V18" s="30"/>
      <c r="W18" s="30"/>
      <c r="X18" s="30"/>
      <c r="Y18" s="30"/>
      <c r="Z18" s="30"/>
    </row>
    <row r="19">
      <c r="A19" s="30"/>
      <c r="B19" s="30"/>
      <c r="C19" s="30"/>
      <c r="D19" s="30"/>
      <c r="E19" s="30"/>
      <c r="F19" s="30"/>
      <c r="G19" s="30"/>
      <c r="H19" s="30"/>
      <c r="I19" s="30"/>
      <c r="J19" s="30"/>
      <c r="K19" s="30"/>
      <c r="L19" s="30"/>
      <c r="R19" s="30"/>
      <c r="S19" s="30"/>
      <c r="T19" s="30"/>
      <c r="U19" s="30"/>
      <c r="V19" s="30"/>
      <c r="W19" s="30"/>
      <c r="X19" s="30"/>
      <c r="Y19" s="30"/>
      <c r="Z19" s="30"/>
    </row>
    <row r="20">
      <c r="A20" s="30"/>
      <c r="B20" s="30"/>
      <c r="C20" s="30"/>
      <c r="D20" s="30"/>
      <c r="E20" s="30"/>
      <c r="F20" s="30"/>
      <c r="G20" s="30"/>
      <c r="H20" s="30"/>
      <c r="I20" s="30"/>
      <c r="J20" s="30"/>
      <c r="K20" s="30"/>
      <c r="L20" s="30"/>
      <c r="R20" s="30"/>
      <c r="S20" s="30"/>
      <c r="T20" s="30"/>
      <c r="U20" s="30"/>
      <c r="V20" s="30"/>
      <c r="W20" s="30"/>
      <c r="X20" s="30"/>
      <c r="Y20" s="30"/>
      <c r="Z20" s="30"/>
    </row>
    <row r="21">
      <c r="A21" s="30"/>
      <c r="B21" s="30"/>
      <c r="C21" s="30"/>
      <c r="D21" s="30"/>
      <c r="E21" s="30"/>
      <c r="F21" s="30"/>
      <c r="G21" s="30"/>
      <c r="H21" s="30"/>
      <c r="I21" s="30"/>
      <c r="J21" s="30"/>
      <c r="K21" s="30"/>
      <c r="L21" s="30"/>
      <c r="R21" s="30"/>
      <c r="S21" s="30"/>
      <c r="T21" s="30"/>
      <c r="U21" s="30"/>
      <c r="V21" s="30"/>
      <c r="W21" s="30"/>
      <c r="X21" s="30"/>
      <c r="Y21" s="30"/>
      <c r="Z21" s="30"/>
    </row>
    <row r="22">
      <c r="A22" s="30"/>
      <c r="B22" s="30"/>
      <c r="C22" s="30"/>
      <c r="D22" s="30"/>
      <c r="E22" s="30"/>
      <c r="F22" s="30"/>
      <c r="G22" s="30"/>
      <c r="H22" s="30"/>
      <c r="I22" s="30"/>
      <c r="J22" s="30"/>
      <c r="K22" s="30"/>
      <c r="L22" s="30"/>
      <c r="R22" s="30"/>
      <c r="S22" s="30"/>
      <c r="T22" s="30"/>
      <c r="U22" s="30"/>
      <c r="V22" s="30"/>
      <c r="W22" s="30"/>
      <c r="X22" s="30"/>
      <c r="Y22" s="30"/>
      <c r="Z22" s="30"/>
    </row>
    <row r="23">
      <c r="A23" s="30"/>
      <c r="B23" s="30"/>
      <c r="C23" s="30"/>
      <c r="D23" s="30"/>
      <c r="E23" s="30"/>
      <c r="F23" s="30"/>
      <c r="G23" s="30"/>
      <c r="H23" s="30"/>
      <c r="I23" s="30"/>
      <c r="J23" s="30"/>
      <c r="K23" s="30"/>
      <c r="L23" s="30"/>
      <c r="R23" s="30"/>
      <c r="S23" s="30"/>
      <c r="T23" s="30"/>
      <c r="U23" s="30"/>
      <c r="V23" s="30"/>
      <c r="W23" s="30"/>
      <c r="X23" s="30"/>
      <c r="Y23" s="30"/>
      <c r="Z23" s="30"/>
    </row>
    <row r="24" ht="39.75" customHeight="1">
      <c r="A24" s="35"/>
      <c r="B24" s="30"/>
      <c r="C24" s="30"/>
      <c r="D24" s="30"/>
      <c r="H24" s="30"/>
      <c r="I24" s="30"/>
      <c r="J24" s="30"/>
      <c r="K24" s="30"/>
      <c r="L24" s="30"/>
      <c r="R24" s="30"/>
      <c r="S24" s="30"/>
      <c r="T24" s="30"/>
      <c r="U24" s="30"/>
      <c r="V24" s="30"/>
      <c r="W24" s="30"/>
      <c r="X24" s="30"/>
      <c r="Y24" s="30"/>
      <c r="Z24" s="30"/>
    </row>
    <row r="25">
      <c r="A25" s="30"/>
      <c r="B25" s="30"/>
      <c r="C25" s="30"/>
      <c r="D25" s="30"/>
      <c r="H25" s="30"/>
      <c r="I25" s="30"/>
      <c r="J25" s="30"/>
      <c r="K25" s="30"/>
      <c r="L25" s="30"/>
      <c r="R25" s="30"/>
      <c r="S25" s="30"/>
      <c r="T25" s="30"/>
      <c r="U25" s="30"/>
      <c r="V25" s="30"/>
      <c r="W25" s="30"/>
      <c r="X25" s="30"/>
      <c r="Y25" s="30"/>
      <c r="Z25" s="30"/>
    </row>
    <row r="26" ht="56.25" customHeight="1">
      <c r="A26" s="30"/>
      <c r="B26" s="30"/>
      <c r="C26" s="30"/>
      <c r="D26" s="30"/>
      <c r="H26" s="30"/>
      <c r="I26" s="30"/>
      <c r="J26" s="30"/>
      <c r="K26" s="30"/>
      <c r="L26" s="30"/>
      <c r="R26" s="30"/>
      <c r="S26" s="30"/>
      <c r="T26" s="30"/>
      <c r="U26" s="30"/>
      <c r="V26" s="30"/>
      <c r="W26" s="30"/>
      <c r="X26" s="30"/>
      <c r="Y26" s="30"/>
      <c r="Z26" s="30"/>
    </row>
    <row r="27" ht="26.25" customHeight="1">
      <c r="A27" s="28" t="s">
        <v>822</v>
      </c>
      <c r="B27" s="30"/>
      <c r="C27" s="30"/>
      <c r="D27" s="30"/>
      <c r="H27" s="30"/>
      <c r="I27" s="30"/>
      <c r="J27" s="30"/>
      <c r="K27" s="30"/>
      <c r="L27" s="30"/>
      <c r="R27" s="30"/>
      <c r="S27" s="30"/>
      <c r="T27" s="30"/>
      <c r="U27" s="30"/>
      <c r="V27" s="30"/>
      <c r="W27" s="30"/>
      <c r="X27" s="30"/>
      <c r="Y27" s="30"/>
      <c r="Z27" s="30"/>
    </row>
    <row r="28">
      <c r="A28" s="30"/>
      <c r="B28" s="30"/>
      <c r="C28" s="30"/>
      <c r="D28" s="30"/>
      <c r="H28" s="30"/>
      <c r="I28" s="30"/>
      <c r="J28" s="30"/>
      <c r="K28" s="30"/>
      <c r="L28" s="30"/>
      <c r="R28" s="30"/>
      <c r="S28" s="30"/>
      <c r="T28" s="30"/>
      <c r="U28" s="30"/>
      <c r="V28" s="30"/>
      <c r="W28" s="30"/>
      <c r="X28" s="30"/>
      <c r="Y28" s="30"/>
      <c r="Z28" s="30"/>
    </row>
    <row r="29">
      <c r="A29" s="30"/>
      <c r="B29" s="30"/>
      <c r="C29" s="30"/>
      <c r="D29" s="30"/>
      <c r="H29" s="30"/>
      <c r="I29" s="30"/>
      <c r="J29" s="30"/>
      <c r="K29" s="30"/>
      <c r="L29" s="30"/>
      <c r="R29" s="30"/>
      <c r="S29" s="30"/>
      <c r="T29" s="30"/>
      <c r="U29" s="30"/>
      <c r="V29" s="30"/>
      <c r="W29" s="30"/>
      <c r="X29" s="30"/>
      <c r="Y29" s="30"/>
      <c r="Z29" s="30"/>
    </row>
    <row r="30">
      <c r="A30" s="30"/>
      <c r="B30" s="30"/>
      <c r="C30" s="30"/>
      <c r="D30" s="30"/>
      <c r="E30" s="30"/>
      <c r="F30" s="30"/>
      <c r="G30" s="30"/>
      <c r="H30" s="30"/>
      <c r="I30" s="30"/>
      <c r="J30" s="30"/>
      <c r="K30" s="30"/>
      <c r="L30" s="30"/>
      <c r="R30" s="30"/>
      <c r="S30" s="30"/>
      <c r="T30" s="30"/>
      <c r="U30" s="30"/>
      <c r="V30" s="30"/>
      <c r="W30" s="30"/>
      <c r="X30" s="30"/>
      <c r="Y30" s="30"/>
      <c r="Z30" s="30"/>
    </row>
    <row r="31">
      <c r="A31" s="30"/>
      <c r="B31" s="30"/>
      <c r="C31" s="30"/>
      <c r="D31" s="30"/>
      <c r="E31" s="30"/>
      <c r="F31" s="30"/>
      <c r="G31" s="30"/>
      <c r="H31" s="30"/>
      <c r="I31" s="30"/>
      <c r="J31" s="30"/>
      <c r="K31" s="30"/>
      <c r="L31" s="30"/>
      <c r="R31" s="30"/>
      <c r="S31" s="30"/>
      <c r="T31" s="30"/>
      <c r="U31" s="30"/>
      <c r="V31" s="30"/>
      <c r="W31" s="30"/>
      <c r="X31" s="30"/>
      <c r="Y31" s="30"/>
      <c r="Z31" s="30"/>
    </row>
    <row r="32">
      <c r="A32" s="30"/>
      <c r="B32" s="30"/>
      <c r="C32" s="30"/>
      <c r="D32" s="30"/>
      <c r="E32" s="30"/>
      <c r="F32" s="30"/>
      <c r="G32" s="30"/>
      <c r="H32" s="30"/>
      <c r="I32" s="30"/>
      <c r="J32" s="30"/>
      <c r="K32" s="30"/>
      <c r="L32" s="30"/>
      <c r="R32" s="30"/>
      <c r="S32" s="30"/>
      <c r="T32" s="30"/>
      <c r="U32" s="30"/>
      <c r="V32" s="30"/>
      <c r="W32" s="30"/>
      <c r="X32" s="30"/>
      <c r="Y32" s="30"/>
      <c r="Z32" s="30"/>
    </row>
    <row r="33">
      <c r="A33" s="30"/>
      <c r="B33" s="30"/>
      <c r="C33" s="30"/>
      <c r="D33" s="30"/>
      <c r="E33" s="30"/>
      <c r="F33" s="30"/>
      <c r="G33" s="30"/>
      <c r="H33" s="30"/>
      <c r="I33" s="30"/>
      <c r="J33" s="30"/>
      <c r="K33" s="30"/>
      <c r="L33" s="30"/>
      <c r="R33" s="30"/>
      <c r="S33" s="30"/>
      <c r="T33" s="30"/>
      <c r="U33" s="30"/>
      <c r="V33" s="30"/>
      <c r="W33" s="30"/>
      <c r="X33" s="30"/>
      <c r="Y33" s="30"/>
      <c r="Z33" s="30"/>
    </row>
    <row r="34">
      <c r="A34" s="30"/>
      <c r="B34" s="30"/>
      <c r="C34" s="30"/>
      <c r="D34" s="30"/>
      <c r="E34" s="30"/>
      <c r="F34" s="30"/>
      <c r="G34" s="30"/>
      <c r="H34" s="30"/>
      <c r="I34" s="30"/>
      <c r="J34" s="30"/>
      <c r="K34" s="30"/>
      <c r="L34" s="30"/>
      <c r="R34" s="30"/>
      <c r="S34" s="30"/>
      <c r="T34" s="30"/>
      <c r="U34" s="30"/>
      <c r="V34" s="30"/>
      <c r="W34" s="30"/>
      <c r="X34" s="30"/>
      <c r="Y34" s="30"/>
      <c r="Z34" s="30"/>
    </row>
    <row r="35">
      <c r="A35" s="30"/>
      <c r="B35" s="30"/>
      <c r="C35" s="30"/>
      <c r="D35" s="30"/>
      <c r="E35" s="30"/>
      <c r="F35" s="30"/>
      <c r="G35" s="30"/>
      <c r="H35" s="30"/>
      <c r="I35" s="30"/>
      <c r="J35" s="30"/>
      <c r="K35" s="30"/>
      <c r="L35" s="30"/>
      <c r="R35" s="30"/>
      <c r="S35" s="30"/>
      <c r="T35" s="30"/>
      <c r="U35" s="30"/>
      <c r="V35" s="30"/>
      <c r="W35" s="30"/>
      <c r="X35" s="30"/>
      <c r="Y35" s="30"/>
      <c r="Z35" s="30"/>
    </row>
    <row r="36">
      <c r="A36" s="30"/>
      <c r="B36" s="30"/>
      <c r="C36" s="30"/>
      <c r="D36" s="30"/>
      <c r="E36" s="30"/>
      <c r="F36" s="30"/>
      <c r="G36" s="30"/>
      <c r="H36" s="30"/>
      <c r="I36" s="30"/>
      <c r="J36" s="30"/>
      <c r="K36" s="30"/>
      <c r="L36" s="30"/>
      <c r="R36" s="30"/>
      <c r="S36" s="30"/>
      <c r="T36" s="30"/>
      <c r="U36" s="30"/>
      <c r="V36" s="30"/>
      <c r="W36" s="30"/>
      <c r="X36" s="30"/>
      <c r="Y36" s="30"/>
      <c r="Z36" s="30"/>
    </row>
    <row r="37">
      <c r="A37" s="30"/>
      <c r="B37" s="30"/>
      <c r="C37" s="30"/>
      <c r="D37" s="30"/>
      <c r="E37" s="30"/>
      <c r="F37" s="30"/>
      <c r="G37" s="30"/>
      <c r="H37" s="30"/>
      <c r="I37" s="30"/>
      <c r="J37" s="30"/>
      <c r="K37" s="30"/>
      <c r="L37" s="30"/>
      <c r="R37" s="30"/>
      <c r="S37" s="30"/>
      <c r="T37" s="30"/>
      <c r="U37" s="30"/>
      <c r="V37" s="30"/>
      <c r="W37" s="30"/>
      <c r="X37" s="30"/>
      <c r="Y37" s="30"/>
      <c r="Z37" s="30"/>
    </row>
    <row r="38">
      <c r="A38" s="30"/>
      <c r="B38" s="30"/>
      <c r="C38" s="30"/>
      <c r="D38" s="30"/>
      <c r="E38" s="30"/>
      <c r="F38" s="30"/>
      <c r="G38" s="30"/>
      <c r="H38" s="30"/>
      <c r="I38" s="30"/>
      <c r="J38" s="30"/>
      <c r="K38" s="30"/>
      <c r="L38" s="30"/>
      <c r="R38" s="30"/>
      <c r="S38" s="30"/>
      <c r="T38" s="30"/>
      <c r="U38" s="30"/>
      <c r="V38" s="30"/>
      <c r="W38" s="30"/>
      <c r="X38" s="30"/>
      <c r="Y38" s="30"/>
      <c r="Z38" s="30"/>
    </row>
    <row r="39">
      <c r="A39" s="30"/>
      <c r="B39" s="30"/>
      <c r="C39" s="30"/>
      <c r="D39" s="30"/>
      <c r="E39" s="30"/>
      <c r="F39" s="30"/>
      <c r="G39" s="30"/>
      <c r="H39" s="30"/>
      <c r="I39" s="30"/>
      <c r="J39" s="30"/>
      <c r="K39" s="30"/>
      <c r="L39" s="30"/>
      <c r="R39" s="30"/>
      <c r="S39" s="30"/>
      <c r="T39" s="30"/>
      <c r="U39" s="30"/>
      <c r="V39" s="30"/>
      <c r="W39" s="30"/>
      <c r="X39" s="30"/>
      <c r="Y39" s="30"/>
      <c r="Z39" s="30"/>
    </row>
    <row r="40">
      <c r="A40" s="30"/>
      <c r="B40" s="30"/>
      <c r="C40" s="30"/>
      <c r="D40" s="30"/>
      <c r="E40" s="30"/>
      <c r="F40" s="30"/>
      <c r="G40" s="30"/>
      <c r="H40" s="30"/>
      <c r="I40" s="30"/>
      <c r="J40" s="30"/>
      <c r="K40" s="30"/>
      <c r="L40" s="30"/>
      <c r="R40" s="30"/>
      <c r="S40" s="30"/>
      <c r="T40" s="30"/>
      <c r="U40" s="30"/>
      <c r="V40" s="30"/>
      <c r="W40" s="30"/>
      <c r="X40" s="30"/>
      <c r="Y40" s="30"/>
      <c r="Z40" s="30"/>
    </row>
    <row r="41">
      <c r="A41" s="30"/>
      <c r="B41" s="30"/>
      <c r="C41" s="30"/>
      <c r="D41" s="30"/>
      <c r="E41" s="30"/>
      <c r="F41" s="30"/>
      <c r="G41" s="30"/>
      <c r="H41" s="30"/>
      <c r="I41" s="30"/>
      <c r="J41" s="30"/>
      <c r="K41" s="30"/>
      <c r="L41" s="30"/>
      <c r="R41" s="30"/>
      <c r="S41" s="30"/>
      <c r="T41" s="30"/>
      <c r="U41" s="30"/>
      <c r="V41" s="30"/>
      <c r="W41" s="30"/>
      <c r="X41" s="30"/>
      <c r="Y41" s="30"/>
      <c r="Z41" s="30"/>
    </row>
    <row r="42">
      <c r="A42" s="30"/>
      <c r="B42" s="30"/>
      <c r="C42" s="30"/>
      <c r="D42" s="30"/>
      <c r="E42" s="30"/>
      <c r="F42" s="30"/>
      <c r="G42" s="30"/>
      <c r="H42" s="30"/>
      <c r="I42" s="30"/>
      <c r="J42" s="30"/>
      <c r="K42" s="30"/>
      <c r="L42" s="30"/>
      <c r="R42" s="30"/>
      <c r="S42" s="30"/>
      <c r="T42" s="30"/>
      <c r="U42" s="30"/>
      <c r="V42" s="30"/>
      <c r="W42" s="30"/>
      <c r="X42" s="30"/>
      <c r="Y42" s="30"/>
      <c r="Z42" s="30"/>
    </row>
    <row r="43">
      <c r="A43" s="30"/>
      <c r="B43" s="30"/>
      <c r="C43" s="30"/>
      <c r="D43" s="30"/>
      <c r="F43" s="30"/>
      <c r="G43" s="30"/>
      <c r="H43" s="30"/>
      <c r="I43" s="30"/>
      <c r="J43" s="30"/>
      <c r="K43" s="30"/>
      <c r="L43" s="30"/>
      <c r="R43" s="30"/>
      <c r="S43" s="30"/>
      <c r="T43" s="30"/>
      <c r="U43" s="30"/>
      <c r="V43" s="30"/>
      <c r="W43" s="30"/>
      <c r="X43" s="30"/>
      <c r="Y43" s="30"/>
      <c r="Z43" s="30"/>
    </row>
    <row r="44">
      <c r="A44" s="30"/>
      <c r="B44" s="30"/>
      <c r="C44" s="30"/>
      <c r="D44" s="30"/>
      <c r="E44" s="30"/>
      <c r="F44" s="30"/>
      <c r="G44" s="30"/>
      <c r="H44" s="30"/>
      <c r="I44" s="30"/>
      <c r="J44" s="30"/>
      <c r="K44" s="30"/>
      <c r="L44" s="30"/>
      <c r="R44" s="30"/>
      <c r="S44" s="30"/>
      <c r="T44" s="30"/>
      <c r="U44" s="30"/>
      <c r="V44" s="30"/>
      <c r="W44" s="30"/>
      <c r="X44" s="30"/>
      <c r="Y44" s="30"/>
      <c r="Z44" s="30"/>
    </row>
    <row r="45">
      <c r="A45" s="30"/>
      <c r="B45" s="30"/>
      <c r="C45" s="30"/>
      <c r="D45" s="30"/>
      <c r="E45" s="30"/>
      <c r="F45" s="30"/>
      <c r="G45" s="30"/>
      <c r="H45" s="30"/>
      <c r="I45" s="30"/>
      <c r="J45" s="30"/>
      <c r="K45" s="30"/>
      <c r="L45" s="30"/>
      <c r="R45" s="30"/>
      <c r="S45" s="30"/>
      <c r="T45" s="30"/>
      <c r="U45" s="30"/>
      <c r="V45" s="30"/>
      <c r="W45" s="30"/>
      <c r="X45" s="30"/>
      <c r="Y45" s="30"/>
      <c r="Z45" s="30"/>
    </row>
    <row r="46">
      <c r="A46" s="30"/>
      <c r="B46" s="30"/>
      <c r="C46" s="30"/>
      <c r="D46" s="30"/>
      <c r="F46" s="30"/>
      <c r="G46" s="30"/>
      <c r="H46" s="30"/>
      <c r="I46" s="30"/>
      <c r="J46" s="30"/>
      <c r="K46" s="30"/>
      <c r="R46" s="30"/>
      <c r="S46" s="30"/>
      <c r="T46" s="30"/>
      <c r="U46" s="30"/>
      <c r="V46" s="30"/>
      <c r="W46" s="30"/>
      <c r="X46" s="30"/>
      <c r="Y46" s="30"/>
      <c r="Z46" s="30"/>
    </row>
    <row r="47">
      <c r="A47" s="30"/>
      <c r="B47" s="30"/>
      <c r="C47" s="30"/>
      <c r="D47" s="30"/>
      <c r="F47" s="30"/>
      <c r="G47" s="30"/>
      <c r="H47" s="30"/>
      <c r="I47" s="30"/>
      <c r="J47" s="30"/>
      <c r="K47" s="30"/>
      <c r="L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08.0" customHeight="1">
      <c r="A51" s="35"/>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6" t="s">
        <v>823</v>
      </c>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D75" s="30"/>
      <c r="E75" s="30"/>
      <c r="F75" s="30"/>
      <c r="G75" s="30"/>
      <c r="H75" s="30"/>
      <c r="I75" s="30"/>
      <c r="J75" s="30"/>
      <c r="K75" s="30"/>
      <c r="L75" s="30"/>
      <c r="M75" s="30"/>
      <c r="N75" s="30"/>
      <c r="O75" s="30"/>
      <c r="P75" s="30"/>
      <c r="Q75" s="30"/>
      <c r="R75" s="30"/>
      <c r="S75" s="30"/>
      <c r="T75" s="30"/>
      <c r="U75" s="30"/>
      <c r="V75" s="30"/>
      <c r="W75" s="30"/>
      <c r="X75" s="30"/>
      <c r="Y75" s="30"/>
      <c r="Z75" s="30"/>
    </row>
    <row r="76" ht="95.25" customHeight="1">
      <c r="A76" s="35"/>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7"/>
      <c r="F77" s="37"/>
      <c r="G77" s="37"/>
      <c r="H77" s="37"/>
      <c r="I77" s="37"/>
      <c r="J77" s="37"/>
      <c r="K77" s="37"/>
      <c r="L77" s="37"/>
      <c r="M77" s="37"/>
      <c r="N77" s="37"/>
      <c r="O77" s="37"/>
      <c r="P77" s="37"/>
      <c r="Q77" s="37"/>
      <c r="R77" s="30"/>
      <c r="S77" s="30"/>
      <c r="T77" s="30"/>
      <c r="U77" s="30"/>
      <c r="V77" s="30"/>
      <c r="W77" s="30"/>
      <c r="X77" s="30"/>
      <c r="Y77" s="30"/>
      <c r="Z77" s="30"/>
    </row>
    <row r="78">
      <c r="A78" s="30" t="s">
        <v>824</v>
      </c>
      <c r="B78" s="30"/>
      <c r="C78" s="30"/>
      <c r="D78" s="37"/>
      <c r="E78" s="38"/>
      <c r="F78" s="38"/>
      <c r="G78" s="37"/>
      <c r="H78" s="37"/>
      <c r="I78" s="37"/>
      <c r="J78" s="37"/>
      <c r="K78" s="37"/>
      <c r="L78" s="37"/>
      <c r="M78" s="37"/>
      <c r="N78" s="37"/>
      <c r="O78" s="37"/>
      <c r="P78" s="37"/>
      <c r="Q78" s="37"/>
      <c r="R78" s="30"/>
      <c r="S78" s="30"/>
      <c r="T78" s="30"/>
      <c r="U78" s="30"/>
      <c r="V78" s="30"/>
      <c r="W78" s="30"/>
      <c r="X78" s="30"/>
      <c r="Y78" s="30"/>
      <c r="Z78" s="30"/>
    </row>
    <row r="79">
      <c r="A79" s="30"/>
      <c r="B79" s="30"/>
      <c r="C79" s="30"/>
      <c r="D79" s="37"/>
      <c r="E79" s="37"/>
      <c r="F79" s="37"/>
      <c r="G79" s="37"/>
      <c r="H79" s="37"/>
      <c r="I79" s="37"/>
      <c r="J79" s="37"/>
      <c r="K79" s="37"/>
      <c r="L79" s="37"/>
      <c r="M79" s="37"/>
      <c r="N79" s="37"/>
      <c r="O79" s="37"/>
      <c r="P79" s="37"/>
      <c r="Q79" s="37"/>
      <c r="R79" s="30"/>
      <c r="S79" s="30"/>
      <c r="T79" s="30"/>
      <c r="U79" s="30"/>
      <c r="V79" s="30"/>
      <c r="W79" s="30"/>
      <c r="X79" s="30"/>
      <c r="Y79" s="30"/>
      <c r="Z79" s="30"/>
    </row>
    <row r="80">
      <c r="D80" s="37"/>
      <c r="E80" s="37"/>
      <c r="F80" s="37"/>
      <c r="G80" s="37"/>
      <c r="H80" s="37"/>
      <c r="I80" s="37"/>
      <c r="J80" s="37"/>
      <c r="K80" s="37"/>
      <c r="L80" s="37"/>
      <c r="M80" s="37"/>
      <c r="N80" s="37"/>
      <c r="O80" s="37"/>
      <c r="P80" s="37"/>
      <c r="Q80" s="37"/>
      <c r="T80" s="30"/>
      <c r="U80" s="30"/>
      <c r="V80" s="30"/>
      <c r="W80" s="30"/>
      <c r="X80" s="30"/>
      <c r="Y80" s="30"/>
      <c r="Z80" s="30"/>
    </row>
    <row r="81">
      <c r="A81" s="30"/>
      <c r="B81" s="30"/>
      <c r="C81" s="30"/>
      <c r="D81" s="37"/>
      <c r="E81" s="37"/>
      <c r="F81" s="37"/>
      <c r="G81" s="37"/>
      <c r="H81" s="37"/>
      <c r="I81" s="37"/>
      <c r="J81" s="37"/>
      <c r="K81" s="37"/>
      <c r="L81" s="37"/>
      <c r="M81" s="37"/>
      <c r="N81" s="37"/>
      <c r="O81" s="37"/>
      <c r="P81" s="37"/>
      <c r="Q81" s="37"/>
      <c r="T81" s="30"/>
      <c r="U81" s="30"/>
      <c r="V81" s="30"/>
      <c r="W81" s="30"/>
      <c r="X81" s="30"/>
      <c r="Y81" s="30"/>
      <c r="Z81" s="30"/>
    </row>
    <row r="82">
      <c r="A82" s="30"/>
      <c r="B82" s="30"/>
      <c r="C82" s="30"/>
      <c r="D82" s="37"/>
      <c r="E82" s="37"/>
      <c r="F82" s="37"/>
      <c r="G82" s="37"/>
      <c r="H82" s="37"/>
      <c r="I82" s="37"/>
      <c r="J82" s="37"/>
      <c r="K82" s="37"/>
      <c r="L82" s="37"/>
      <c r="M82" s="37"/>
      <c r="N82" s="37"/>
      <c r="O82" s="37"/>
      <c r="P82" s="37"/>
      <c r="Q82" s="37"/>
      <c r="T82" s="30"/>
      <c r="U82" s="30"/>
      <c r="V82" s="30"/>
      <c r="W82" s="30"/>
      <c r="X82" s="30"/>
      <c r="Y82" s="30"/>
      <c r="Z82" s="30"/>
    </row>
    <row r="83">
      <c r="A83" s="30"/>
      <c r="B83" s="30"/>
      <c r="C83" s="30"/>
      <c r="D83" s="37"/>
      <c r="E83" s="37"/>
      <c r="F83" s="37"/>
      <c r="G83" s="37"/>
      <c r="H83" s="37"/>
      <c r="I83" s="37"/>
      <c r="J83" s="37"/>
      <c r="K83" s="37"/>
      <c r="L83" s="37"/>
      <c r="M83" s="37"/>
      <c r="N83" s="37"/>
      <c r="O83" s="37"/>
      <c r="P83" s="37"/>
      <c r="Q83" s="37"/>
      <c r="T83" s="30"/>
      <c r="U83" s="30"/>
      <c r="V83" s="30"/>
      <c r="W83" s="30"/>
      <c r="X83" s="30"/>
      <c r="Y83" s="30"/>
      <c r="Z83" s="30"/>
    </row>
    <row r="84">
      <c r="A84" s="30"/>
      <c r="B84" s="30"/>
      <c r="C84" s="30"/>
      <c r="E84" s="37"/>
      <c r="F84" s="37"/>
      <c r="G84" s="37"/>
      <c r="H84" s="37"/>
      <c r="I84" s="37"/>
      <c r="J84" s="37"/>
      <c r="K84" s="37"/>
      <c r="L84" s="37"/>
      <c r="M84" s="37"/>
      <c r="N84" s="37"/>
      <c r="O84" s="37"/>
      <c r="P84" s="37"/>
      <c r="Q84" s="37"/>
      <c r="T84" s="30"/>
      <c r="U84" s="30"/>
      <c r="V84" s="30"/>
      <c r="W84" s="30"/>
      <c r="X84" s="30"/>
      <c r="Y84" s="30"/>
      <c r="Z84" s="30"/>
    </row>
    <row r="85">
      <c r="A85" s="30"/>
      <c r="B85" s="30"/>
      <c r="C85" s="30"/>
      <c r="D85" s="39" t="s">
        <v>825</v>
      </c>
      <c r="E85" s="37"/>
      <c r="F85" s="37"/>
      <c r="G85" s="37"/>
      <c r="H85" s="37"/>
      <c r="I85" s="37"/>
      <c r="J85" s="37"/>
      <c r="K85" s="37"/>
      <c r="L85" s="37"/>
      <c r="M85" s="37"/>
      <c r="N85" s="37"/>
      <c r="O85" s="37"/>
      <c r="P85" s="37"/>
      <c r="Q85" s="37"/>
      <c r="T85" s="30"/>
      <c r="U85" s="30"/>
      <c r="V85" s="30"/>
      <c r="W85" s="30"/>
      <c r="X85" s="30"/>
      <c r="Y85" s="30"/>
      <c r="Z85" s="30"/>
    </row>
    <row r="86">
      <c r="A86" s="30"/>
      <c r="B86" s="30"/>
      <c r="C86" s="30"/>
      <c r="D86" s="2" t="s">
        <v>826</v>
      </c>
      <c r="E86" s="37"/>
      <c r="F86" s="37"/>
      <c r="G86" s="37"/>
      <c r="H86" s="37"/>
      <c r="I86" s="37"/>
      <c r="J86" s="37"/>
      <c r="K86" s="37"/>
      <c r="L86" s="37"/>
      <c r="M86" s="37"/>
      <c r="N86" s="37"/>
      <c r="O86" s="37"/>
      <c r="P86" s="37"/>
      <c r="Q86" s="37"/>
      <c r="T86" s="30"/>
      <c r="U86" s="30"/>
      <c r="V86" s="30"/>
      <c r="W86" s="30"/>
      <c r="X86" s="30"/>
      <c r="Y86" s="30"/>
      <c r="Z86" s="30"/>
    </row>
    <row r="87">
      <c r="A87" s="30"/>
      <c r="B87" s="30"/>
      <c r="C87" s="30"/>
      <c r="D87" s="2" t="s">
        <v>827</v>
      </c>
      <c r="E87" s="37"/>
      <c r="F87" s="37"/>
      <c r="G87" s="37"/>
      <c r="H87" s="37"/>
      <c r="I87" s="37"/>
      <c r="J87" s="37"/>
      <c r="K87" s="37"/>
      <c r="L87" s="37"/>
      <c r="M87" s="37"/>
      <c r="N87" s="37"/>
      <c r="O87" s="37"/>
      <c r="P87" s="37"/>
      <c r="Q87" s="37"/>
      <c r="T87" s="30"/>
      <c r="U87" s="30"/>
      <c r="V87" s="30"/>
      <c r="W87" s="30"/>
      <c r="X87" s="30"/>
      <c r="Y87" s="30"/>
      <c r="Z87" s="30"/>
    </row>
    <row r="88">
      <c r="A88" s="30"/>
      <c r="B88" s="30"/>
      <c r="C88" s="30"/>
      <c r="D88" s="2" t="s">
        <v>828</v>
      </c>
      <c r="E88" s="37"/>
      <c r="F88" s="37"/>
      <c r="G88" s="37"/>
      <c r="H88" s="37"/>
      <c r="I88" s="37"/>
      <c r="J88" s="37"/>
      <c r="K88" s="37"/>
      <c r="L88" s="37"/>
      <c r="M88" s="37"/>
      <c r="N88" s="37"/>
      <c r="O88" s="37"/>
      <c r="P88" s="37"/>
      <c r="Q88" s="37"/>
      <c r="T88" s="30"/>
      <c r="U88" s="30"/>
      <c r="V88" s="30"/>
      <c r="W88" s="30"/>
      <c r="X88" s="30"/>
      <c r="Y88" s="30"/>
      <c r="Z88" s="30"/>
    </row>
    <row r="89">
      <c r="A89" s="30"/>
      <c r="B89" s="30"/>
      <c r="C89" s="30"/>
      <c r="E89" s="37"/>
      <c r="F89" s="37"/>
      <c r="G89" s="37"/>
      <c r="H89" s="37"/>
      <c r="I89" s="37"/>
      <c r="J89" s="37"/>
      <c r="K89" s="37"/>
      <c r="L89" s="37"/>
      <c r="M89" s="37"/>
      <c r="N89" s="37"/>
      <c r="O89" s="37"/>
      <c r="P89" s="37"/>
      <c r="Q89" s="37"/>
      <c r="T89" s="30"/>
      <c r="U89" s="30"/>
      <c r="V89" s="30"/>
      <c r="W89" s="30"/>
      <c r="X89" s="30"/>
      <c r="Y89" s="30"/>
      <c r="Z89" s="30"/>
    </row>
    <row r="90">
      <c r="A90" s="30"/>
      <c r="B90" s="30"/>
      <c r="C90" s="30"/>
      <c r="E90" s="37"/>
      <c r="F90" s="37"/>
      <c r="G90" s="37"/>
      <c r="H90" s="37"/>
      <c r="I90" s="37"/>
      <c r="J90" s="37"/>
      <c r="K90" s="37"/>
      <c r="L90" s="37"/>
      <c r="M90" s="37"/>
      <c r="N90" s="37"/>
      <c r="O90" s="37"/>
      <c r="P90" s="37"/>
      <c r="Q90" s="37"/>
      <c r="T90" s="30"/>
      <c r="U90" s="30"/>
      <c r="V90" s="30"/>
      <c r="W90" s="30"/>
      <c r="X90" s="30"/>
      <c r="Y90" s="30"/>
      <c r="Z90" s="30"/>
    </row>
    <row r="91">
      <c r="A91" s="30"/>
      <c r="B91" s="30"/>
      <c r="C91" s="30"/>
      <c r="E91" s="37"/>
      <c r="F91" s="37"/>
      <c r="G91" s="37"/>
      <c r="H91" s="37"/>
      <c r="I91" s="37"/>
      <c r="J91" s="37"/>
      <c r="K91" s="37"/>
      <c r="L91" s="37"/>
      <c r="M91" s="37"/>
      <c r="N91" s="37"/>
      <c r="O91" s="37"/>
      <c r="P91" s="37"/>
      <c r="Q91" s="37"/>
      <c r="T91" s="30"/>
      <c r="U91" s="30"/>
      <c r="V91" s="30"/>
      <c r="W91" s="30"/>
      <c r="X91" s="30"/>
      <c r="Y91" s="30"/>
      <c r="Z91" s="30"/>
    </row>
    <row r="92">
      <c r="A92" s="30"/>
      <c r="B92" s="30"/>
      <c r="C92" s="30"/>
      <c r="E92" s="37"/>
      <c r="F92" s="37"/>
      <c r="G92" s="37"/>
      <c r="H92" s="37"/>
      <c r="I92" s="37"/>
      <c r="J92" s="37"/>
      <c r="K92" s="37"/>
      <c r="L92" s="37"/>
      <c r="M92" s="37"/>
      <c r="N92" s="37"/>
      <c r="O92" s="37"/>
      <c r="P92" s="37"/>
      <c r="Q92" s="37"/>
      <c r="T92" s="30"/>
      <c r="U92" s="30"/>
      <c r="V92" s="30"/>
      <c r="W92" s="30"/>
      <c r="X92" s="30"/>
      <c r="Y92" s="30"/>
      <c r="Z92" s="30"/>
    </row>
    <row r="93">
      <c r="A93" s="30"/>
      <c r="B93" s="30"/>
      <c r="C93" s="30"/>
      <c r="D93" s="37"/>
      <c r="E93" s="37"/>
      <c r="F93" s="37"/>
      <c r="G93" s="37"/>
      <c r="H93" s="37"/>
      <c r="I93" s="37"/>
      <c r="J93" s="37"/>
      <c r="K93" s="37"/>
      <c r="L93" s="37"/>
      <c r="M93" s="37"/>
      <c r="N93" s="37"/>
      <c r="O93" s="37"/>
      <c r="P93" s="37"/>
      <c r="Q93" s="37"/>
      <c r="T93" s="30"/>
      <c r="U93" s="30"/>
      <c r="V93" s="30"/>
      <c r="W93" s="30"/>
      <c r="X93" s="30"/>
      <c r="Y93" s="30"/>
      <c r="Z93" s="30"/>
    </row>
    <row r="94">
      <c r="A94" s="30"/>
      <c r="B94" s="30"/>
      <c r="C94" s="30"/>
      <c r="D94" s="37"/>
      <c r="E94" s="37"/>
      <c r="F94" s="37"/>
      <c r="G94" s="37"/>
      <c r="H94" s="37"/>
      <c r="I94" s="37"/>
      <c r="J94" s="37"/>
      <c r="K94" s="37"/>
      <c r="L94" s="37"/>
      <c r="M94" s="37"/>
      <c r="N94" s="37"/>
      <c r="O94" s="37"/>
      <c r="P94" s="37"/>
      <c r="Q94" s="37"/>
      <c r="T94" s="30"/>
      <c r="U94" s="30"/>
      <c r="V94" s="30"/>
      <c r="W94" s="30"/>
      <c r="X94" s="30"/>
      <c r="Y94" s="30"/>
      <c r="Z94" s="30"/>
    </row>
    <row r="95">
      <c r="A95" s="30"/>
      <c r="B95" s="30"/>
      <c r="C95" s="30"/>
      <c r="D95" s="37"/>
      <c r="E95" s="37"/>
      <c r="F95" s="37"/>
      <c r="G95" s="37"/>
      <c r="H95" s="37"/>
      <c r="I95" s="37"/>
      <c r="J95" s="37"/>
      <c r="K95" s="37"/>
      <c r="L95" s="37"/>
      <c r="M95" s="37"/>
      <c r="N95" s="37"/>
      <c r="O95" s="37"/>
      <c r="P95" s="37"/>
      <c r="Q95" s="37"/>
      <c r="T95" s="30"/>
      <c r="U95" s="30"/>
      <c r="V95" s="30"/>
      <c r="W95" s="30"/>
      <c r="X95" s="30"/>
      <c r="Y95" s="30"/>
      <c r="Z95" s="30"/>
    </row>
    <row r="96">
      <c r="A96" s="30"/>
      <c r="B96" s="30"/>
      <c r="C96" s="30"/>
      <c r="D96" s="37"/>
      <c r="E96" s="37"/>
      <c r="F96" s="37"/>
      <c r="G96" s="37"/>
      <c r="H96" s="37"/>
      <c r="I96" s="37"/>
      <c r="J96" s="37"/>
      <c r="K96" s="37"/>
      <c r="L96" s="37"/>
      <c r="M96" s="37"/>
      <c r="N96" s="37"/>
      <c r="O96" s="37"/>
      <c r="P96" s="37"/>
      <c r="Q96" s="37"/>
      <c r="T96" s="30"/>
      <c r="U96" s="30"/>
      <c r="V96" s="30"/>
      <c r="W96" s="30"/>
      <c r="X96" s="30"/>
      <c r="Y96" s="30"/>
      <c r="Z96" s="30"/>
    </row>
    <row r="97">
      <c r="A97" s="30"/>
      <c r="B97" s="30"/>
      <c r="C97" s="30"/>
      <c r="D97" s="37"/>
      <c r="E97" s="37"/>
      <c r="F97" s="37"/>
      <c r="G97" s="37"/>
      <c r="H97" s="37"/>
      <c r="I97" s="37"/>
      <c r="J97" s="37"/>
      <c r="K97" s="37"/>
      <c r="L97" s="37"/>
      <c r="M97" s="37"/>
      <c r="N97" s="37"/>
      <c r="O97" s="37"/>
      <c r="P97" s="37"/>
      <c r="Q97" s="37"/>
      <c r="T97" s="30"/>
      <c r="U97" s="30"/>
      <c r="V97" s="30"/>
      <c r="W97" s="30"/>
      <c r="X97" s="30"/>
      <c r="Y97" s="30"/>
      <c r="Z97" s="30"/>
    </row>
    <row r="98">
      <c r="A98" s="30"/>
      <c r="B98" s="30"/>
      <c r="C98" s="30"/>
      <c r="D98" s="37"/>
      <c r="E98" s="37"/>
      <c r="F98" s="37"/>
      <c r="G98" s="37"/>
      <c r="H98" s="37"/>
      <c r="I98" s="37"/>
      <c r="J98" s="37"/>
      <c r="K98" s="37"/>
      <c r="L98" s="37"/>
      <c r="M98" s="37"/>
      <c r="N98" s="37"/>
      <c r="O98" s="37"/>
      <c r="P98" s="37"/>
      <c r="Q98" s="37"/>
      <c r="T98" s="30"/>
      <c r="U98" s="30"/>
      <c r="V98" s="30"/>
      <c r="W98" s="30"/>
      <c r="X98" s="30"/>
      <c r="Y98" s="30"/>
      <c r="Z98" s="30"/>
    </row>
    <row r="99">
      <c r="A99" s="30"/>
      <c r="B99" s="30"/>
      <c r="C99" s="30"/>
      <c r="D99" s="37"/>
      <c r="E99" s="37"/>
      <c r="F99" s="37"/>
      <c r="G99" s="37"/>
      <c r="H99" s="37"/>
      <c r="I99" s="37"/>
      <c r="J99" s="37"/>
      <c r="K99" s="37"/>
      <c r="L99" s="37"/>
      <c r="M99" s="37"/>
      <c r="N99" s="37"/>
      <c r="O99" s="37"/>
      <c r="P99" s="37"/>
      <c r="Q99" s="37"/>
      <c r="T99" s="30"/>
      <c r="U99" s="30"/>
      <c r="V99" s="30"/>
      <c r="W99" s="30"/>
      <c r="X99" s="30"/>
      <c r="Y99" s="30"/>
      <c r="Z99" s="30"/>
    </row>
    <row r="100">
      <c r="A100" s="30"/>
      <c r="B100" s="30"/>
      <c r="C100" s="30"/>
      <c r="D100" s="37"/>
      <c r="E100" s="37"/>
      <c r="F100" s="37"/>
      <c r="G100" s="37"/>
      <c r="H100" s="37"/>
      <c r="I100" s="37"/>
      <c r="J100" s="37"/>
      <c r="K100" s="37"/>
      <c r="L100" s="37"/>
      <c r="M100" s="37"/>
      <c r="N100" s="37"/>
      <c r="O100" s="37"/>
      <c r="P100" s="37"/>
      <c r="Q100" s="37"/>
      <c r="T100" s="30"/>
      <c r="U100" s="30"/>
      <c r="V100" s="30"/>
      <c r="W100" s="30"/>
      <c r="X100" s="30"/>
      <c r="Y100" s="30"/>
      <c r="Z100" s="30"/>
    </row>
    <row r="101">
      <c r="A101" s="30"/>
      <c r="B101" s="30"/>
      <c r="C101" s="30"/>
      <c r="D101" s="37"/>
      <c r="E101" s="37"/>
      <c r="F101" s="37"/>
      <c r="G101" s="37"/>
      <c r="H101" s="37"/>
      <c r="I101" s="37"/>
      <c r="J101" s="37"/>
      <c r="K101" s="37"/>
      <c r="L101" s="37"/>
      <c r="M101" s="37"/>
      <c r="N101" s="37"/>
      <c r="O101" s="37"/>
      <c r="P101" s="37"/>
      <c r="Q101" s="37"/>
      <c r="T101" s="30"/>
      <c r="U101" s="30"/>
      <c r="V101" s="30"/>
      <c r="W101" s="30"/>
      <c r="X101" s="30"/>
      <c r="Y101" s="30"/>
      <c r="Z101" s="30"/>
    </row>
    <row r="102">
      <c r="A102" s="30"/>
      <c r="B102" s="30"/>
      <c r="C102" s="30"/>
      <c r="D102" s="37"/>
      <c r="E102" s="37"/>
      <c r="F102" s="37"/>
      <c r="G102" s="37"/>
      <c r="H102" s="37"/>
      <c r="I102" s="37"/>
      <c r="J102" s="37"/>
      <c r="K102" s="37"/>
      <c r="L102" s="37"/>
      <c r="M102" s="37"/>
      <c r="N102" s="37"/>
      <c r="O102" s="37"/>
      <c r="P102" s="37"/>
      <c r="Q102" s="37"/>
      <c r="T102" s="30"/>
      <c r="U102" s="30"/>
      <c r="V102" s="30"/>
      <c r="W102" s="30"/>
      <c r="X102" s="30"/>
      <c r="Y102" s="30"/>
      <c r="Z102" s="30"/>
    </row>
    <row r="103" ht="51.75" customHeight="1">
      <c r="A103" s="35"/>
      <c r="B103" s="30"/>
      <c r="C103" s="30"/>
      <c r="D103" s="37"/>
      <c r="E103" s="37"/>
      <c r="F103" s="37"/>
      <c r="G103" s="37"/>
      <c r="H103" s="37"/>
      <c r="I103" s="37"/>
      <c r="J103" s="37"/>
      <c r="K103" s="37"/>
      <c r="L103" s="37"/>
      <c r="M103" s="37"/>
      <c r="N103" s="37"/>
      <c r="O103" s="37"/>
      <c r="P103" s="37"/>
      <c r="Q103" s="37"/>
      <c r="T103" s="30"/>
      <c r="U103" s="30"/>
      <c r="V103" s="30"/>
      <c r="W103" s="30"/>
      <c r="X103" s="30"/>
      <c r="Y103" s="30"/>
      <c r="Z103" s="30"/>
    </row>
    <row r="104">
      <c r="A104" s="30"/>
      <c r="B104" s="30"/>
      <c r="C104" s="30"/>
      <c r="D104" s="37"/>
      <c r="E104" s="37"/>
      <c r="F104" s="37"/>
      <c r="G104" s="37"/>
      <c r="H104" s="37"/>
      <c r="I104" s="37"/>
      <c r="J104" s="37"/>
      <c r="K104" s="37"/>
      <c r="L104" s="37"/>
      <c r="M104" s="37"/>
      <c r="N104" s="37"/>
      <c r="O104" s="37"/>
      <c r="P104" s="37"/>
      <c r="Q104" s="37"/>
      <c r="T104" s="30"/>
      <c r="U104" s="30"/>
      <c r="V104" s="30"/>
      <c r="W104" s="30"/>
      <c r="X104" s="30"/>
      <c r="Y104" s="30"/>
      <c r="Z104" s="30"/>
    </row>
    <row r="105">
      <c r="A105" s="30"/>
      <c r="B105" s="30"/>
      <c r="C105" s="30"/>
      <c r="D105" s="37"/>
      <c r="E105" s="37"/>
      <c r="F105" s="37"/>
      <c r="G105" s="37"/>
      <c r="H105" s="37"/>
      <c r="I105" s="37"/>
      <c r="J105" s="37"/>
      <c r="K105" s="37"/>
      <c r="L105" s="37"/>
      <c r="M105" s="37"/>
      <c r="N105" s="37"/>
      <c r="O105" s="37"/>
      <c r="P105" s="37"/>
      <c r="Q105" s="37"/>
      <c r="T105" s="30"/>
      <c r="U105" s="30"/>
      <c r="V105" s="30"/>
      <c r="W105" s="30"/>
      <c r="X105" s="30"/>
      <c r="Y105" s="30"/>
      <c r="Z105" s="30"/>
    </row>
    <row r="106">
      <c r="A106" s="30"/>
      <c r="B106" s="30"/>
      <c r="C106" s="30"/>
      <c r="D106" s="37"/>
      <c r="E106" s="37"/>
      <c r="F106" s="37"/>
      <c r="G106" s="37"/>
      <c r="H106" s="37"/>
      <c r="I106" s="37"/>
      <c r="J106" s="37"/>
      <c r="K106" s="37"/>
      <c r="L106" s="37"/>
      <c r="M106" s="37"/>
      <c r="N106" s="37"/>
      <c r="O106" s="37"/>
      <c r="P106" s="37"/>
      <c r="Q106" s="37"/>
      <c r="T106" s="30"/>
      <c r="U106" s="30"/>
      <c r="V106" s="30"/>
      <c r="W106" s="30"/>
      <c r="X106" s="30"/>
      <c r="Y106" s="30"/>
      <c r="Z106" s="30"/>
    </row>
    <row r="107">
      <c r="A107" s="30"/>
      <c r="B107" s="30"/>
      <c r="C107" s="30"/>
      <c r="D107" s="37"/>
      <c r="E107" s="37"/>
      <c r="F107" s="37"/>
      <c r="G107" s="37"/>
      <c r="H107" s="37"/>
      <c r="I107" s="37"/>
      <c r="J107" s="37"/>
      <c r="K107" s="37"/>
      <c r="L107" s="37"/>
      <c r="M107" s="37"/>
      <c r="N107" s="37"/>
      <c r="O107" s="37"/>
      <c r="P107" s="37"/>
      <c r="Q107" s="37"/>
      <c r="T107" s="30"/>
      <c r="U107" s="30"/>
      <c r="V107" s="30"/>
      <c r="W107" s="30"/>
      <c r="X107" s="30"/>
      <c r="Y107" s="30"/>
      <c r="Z107" s="30"/>
    </row>
    <row r="108">
      <c r="A108" s="30"/>
      <c r="B108" s="30"/>
      <c r="C108" s="30"/>
      <c r="D108" s="37"/>
      <c r="E108" s="37"/>
      <c r="F108" s="37"/>
      <c r="G108" s="37"/>
      <c r="H108" s="37"/>
      <c r="I108" s="37"/>
      <c r="J108" s="37"/>
      <c r="K108" s="37"/>
      <c r="L108" s="37"/>
      <c r="M108" s="37"/>
      <c r="N108" s="37"/>
      <c r="O108" s="37"/>
      <c r="P108" s="37"/>
      <c r="Q108" s="37"/>
      <c r="T108" s="30"/>
      <c r="U108" s="30"/>
      <c r="V108" s="30"/>
      <c r="W108" s="30"/>
      <c r="X108" s="30"/>
      <c r="Y108" s="30"/>
      <c r="Z108" s="30"/>
    </row>
    <row r="109">
      <c r="A109" s="30"/>
      <c r="B109" s="30"/>
      <c r="C109" s="30"/>
      <c r="D109" s="37"/>
      <c r="E109" s="37"/>
      <c r="F109" s="37"/>
      <c r="G109" s="37"/>
      <c r="H109" s="37"/>
      <c r="I109" s="37"/>
      <c r="J109" s="37"/>
      <c r="K109" s="37"/>
      <c r="L109" s="37"/>
      <c r="M109" s="37"/>
      <c r="N109" s="37"/>
      <c r="O109" s="37"/>
      <c r="P109" s="37"/>
      <c r="Q109" s="37"/>
      <c r="T109" s="30"/>
      <c r="U109" s="30"/>
      <c r="V109" s="30"/>
      <c r="W109" s="30"/>
      <c r="X109" s="30"/>
      <c r="Y109" s="30"/>
      <c r="Z109" s="30"/>
    </row>
    <row r="110">
      <c r="A110" s="30"/>
      <c r="B110" s="30"/>
      <c r="C110" s="30"/>
      <c r="D110" s="37"/>
      <c r="E110" s="37"/>
      <c r="F110" s="37"/>
      <c r="G110" s="37"/>
      <c r="H110" s="37"/>
      <c r="I110" s="37"/>
      <c r="J110" s="37"/>
      <c r="K110" s="37"/>
      <c r="L110" s="37"/>
      <c r="M110" s="37"/>
      <c r="N110" s="37"/>
      <c r="O110" s="37"/>
      <c r="P110" s="37"/>
      <c r="Q110" s="37"/>
      <c r="T110" s="30"/>
      <c r="U110" s="30"/>
      <c r="V110" s="30"/>
      <c r="W110" s="30"/>
      <c r="X110" s="30"/>
      <c r="Y110" s="30"/>
      <c r="Z110" s="30"/>
    </row>
    <row r="111">
      <c r="A111" s="30"/>
      <c r="B111" s="30"/>
      <c r="C111" s="30"/>
      <c r="D111" s="37"/>
      <c r="E111" s="37"/>
      <c r="F111" s="37"/>
      <c r="G111" s="37"/>
      <c r="H111" s="37"/>
      <c r="I111" s="37"/>
      <c r="J111" s="37"/>
      <c r="K111" s="37"/>
      <c r="L111" s="37"/>
      <c r="M111" s="37"/>
      <c r="N111" s="37"/>
      <c r="O111" s="37"/>
      <c r="P111" s="37"/>
      <c r="Q111" s="37"/>
      <c r="T111" s="30"/>
      <c r="U111" s="30"/>
      <c r="V111" s="30"/>
      <c r="W111" s="30"/>
      <c r="X111" s="30"/>
      <c r="Y111" s="30"/>
      <c r="Z111" s="30"/>
    </row>
    <row r="112">
      <c r="A112" s="30"/>
      <c r="B112" s="30"/>
      <c r="C112" s="30"/>
      <c r="D112" s="37"/>
      <c r="E112" s="37"/>
      <c r="F112" s="37"/>
      <c r="G112" s="37"/>
      <c r="H112" s="37"/>
      <c r="I112" s="37"/>
      <c r="J112" s="37"/>
      <c r="K112" s="37"/>
      <c r="L112" s="37"/>
      <c r="M112" s="37"/>
      <c r="N112" s="37"/>
      <c r="O112" s="37"/>
      <c r="P112" s="37"/>
      <c r="Q112" s="37"/>
      <c r="T112" s="30"/>
      <c r="U112" s="30"/>
      <c r="V112" s="30"/>
      <c r="W112" s="30"/>
      <c r="X112" s="30"/>
      <c r="Y112" s="30"/>
      <c r="Z112" s="30"/>
    </row>
    <row r="113">
      <c r="A113" s="30"/>
      <c r="B113" s="30"/>
      <c r="C113" s="30"/>
      <c r="D113" s="37"/>
      <c r="E113" s="37"/>
      <c r="F113" s="37"/>
      <c r="G113" s="37"/>
      <c r="H113" s="37"/>
      <c r="I113" s="37"/>
      <c r="J113" s="37"/>
      <c r="K113" s="37"/>
      <c r="L113" s="37"/>
      <c r="M113" s="37"/>
      <c r="N113" s="37"/>
      <c r="O113" s="37"/>
      <c r="P113" s="37"/>
      <c r="Q113" s="37"/>
      <c r="T113" s="30"/>
      <c r="U113" s="30"/>
      <c r="V113" s="30"/>
      <c r="W113" s="30"/>
      <c r="X113" s="30"/>
      <c r="Y113" s="30"/>
      <c r="Z113" s="30"/>
    </row>
    <row r="114">
      <c r="A114" s="30"/>
      <c r="B114" s="30"/>
      <c r="C114" s="30"/>
      <c r="D114" s="37"/>
      <c r="E114" s="37"/>
      <c r="F114" s="37"/>
      <c r="G114" s="37"/>
      <c r="H114" s="37"/>
      <c r="I114" s="37"/>
      <c r="J114" s="37"/>
      <c r="K114" s="37"/>
      <c r="L114" s="37"/>
      <c r="M114" s="37"/>
      <c r="N114" s="37"/>
      <c r="O114" s="37"/>
      <c r="P114" s="37"/>
      <c r="Q114" s="37"/>
      <c r="T114" s="30"/>
      <c r="U114" s="30"/>
      <c r="V114" s="30"/>
      <c r="W114" s="30"/>
      <c r="X114" s="30"/>
      <c r="Y114" s="30"/>
      <c r="Z114" s="30"/>
    </row>
    <row r="115">
      <c r="A115" s="30"/>
      <c r="B115" s="30"/>
      <c r="C115" s="30"/>
      <c r="D115" s="37"/>
      <c r="E115" s="37"/>
      <c r="F115" s="37"/>
      <c r="G115" s="37"/>
      <c r="H115" s="37"/>
      <c r="I115" s="37"/>
      <c r="J115" s="37"/>
      <c r="K115" s="37"/>
      <c r="L115" s="37"/>
      <c r="M115" s="37"/>
      <c r="N115" s="37"/>
      <c r="O115" s="37"/>
      <c r="P115" s="37"/>
      <c r="Q115" s="37"/>
      <c r="T115" s="30"/>
      <c r="U115" s="30"/>
      <c r="V115" s="30"/>
      <c r="W115" s="30"/>
      <c r="X115" s="30"/>
      <c r="Y115" s="30"/>
      <c r="Z115" s="30"/>
    </row>
    <row r="116">
      <c r="A116" s="30"/>
      <c r="B116" s="30"/>
      <c r="C116" s="30"/>
      <c r="D116" s="37"/>
      <c r="E116" s="37"/>
      <c r="F116" s="37"/>
      <c r="G116" s="37"/>
      <c r="H116" s="37"/>
      <c r="I116" s="37"/>
      <c r="J116" s="37"/>
      <c r="K116" s="37"/>
      <c r="L116" s="37"/>
      <c r="M116" s="37"/>
      <c r="N116" s="37"/>
      <c r="O116" s="37"/>
      <c r="P116" s="37"/>
      <c r="Q116" s="37"/>
      <c r="T116" s="30"/>
      <c r="U116" s="30"/>
      <c r="V116" s="30"/>
      <c r="W116" s="30"/>
      <c r="X116" s="30"/>
      <c r="Y116" s="30"/>
      <c r="Z116" s="30"/>
    </row>
    <row r="117">
      <c r="A117" s="30"/>
      <c r="B117" s="30"/>
      <c r="C117" s="30"/>
      <c r="D117" s="37"/>
      <c r="E117" s="37"/>
      <c r="F117" s="37"/>
      <c r="G117" s="37"/>
      <c r="H117" s="37"/>
      <c r="I117" s="37"/>
      <c r="J117" s="37"/>
      <c r="K117" s="37"/>
      <c r="L117" s="37"/>
      <c r="M117" s="37"/>
      <c r="N117" s="37"/>
      <c r="O117" s="37"/>
      <c r="P117" s="37"/>
      <c r="Q117" s="37"/>
      <c r="T117" s="30"/>
      <c r="U117" s="30"/>
      <c r="V117" s="30"/>
      <c r="W117" s="30"/>
      <c r="X117" s="30"/>
      <c r="Y117" s="30"/>
      <c r="Z117" s="30"/>
    </row>
    <row r="118">
      <c r="A118" s="30"/>
      <c r="B118" s="30"/>
      <c r="C118" s="30"/>
      <c r="D118" s="37"/>
      <c r="E118" s="37"/>
      <c r="F118" s="37"/>
      <c r="G118" s="37"/>
      <c r="H118" s="37"/>
      <c r="I118" s="37"/>
      <c r="J118" s="37"/>
      <c r="K118" s="37"/>
      <c r="L118" s="37"/>
      <c r="M118" s="37"/>
      <c r="N118" s="37"/>
      <c r="O118" s="37"/>
      <c r="P118" s="37"/>
      <c r="Q118" s="37"/>
      <c r="T118" s="30"/>
      <c r="U118" s="30"/>
      <c r="V118" s="30"/>
      <c r="W118" s="30"/>
      <c r="X118" s="30"/>
      <c r="Y118" s="30"/>
      <c r="Z118" s="30"/>
    </row>
    <row r="119">
      <c r="A119" s="30"/>
      <c r="B119" s="30"/>
      <c r="C119" s="30"/>
      <c r="D119" s="37"/>
      <c r="E119" s="37"/>
      <c r="F119" s="37"/>
      <c r="G119" s="37"/>
      <c r="H119" s="37"/>
      <c r="I119" s="37"/>
      <c r="J119" s="37"/>
      <c r="K119" s="37"/>
      <c r="L119" s="37"/>
      <c r="M119" s="37"/>
      <c r="N119" s="37"/>
      <c r="O119" s="37"/>
      <c r="P119" s="37"/>
      <c r="Q119" s="37"/>
      <c r="T119" s="30"/>
      <c r="U119" s="30"/>
      <c r="V119" s="30"/>
      <c r="W119" s="30"/>
      <c r="X119" s="30"/>
      <c r="Y119" s="30"/>
      <c r="Z119" s="30"/>
    </row>
    <row r="120">
      <c r="A120" s="30"/>
      <c r="B120" s="30"/>
      <c r="C120" s="30"/>
      <c r="D120" s="37"/>
      <c r="E120" s="37"/>
      <c r="F120" s="37"/>
      <c r="G120" s="37"/>
      <c r="H120" s="37"/>
      <c r="I120" s="37"/>
      <c r="J120" s="37"/>
      <c r="K120" s="37"/>
      <c r="L120" s="37"/>
      <c r="M120" s="37"/>
      <c r="N120" s="37"/>
      <c r="O120" s="37"/>
      <c r="P120" s="37"/>
      <c r="Q120" s="37"/>
      <c r="T120" s="30"/>
      <c r="U120" s="30"/>
      <c r="V120" s="30"/>
      <c r="W120" s="30"/>
      <c r="X120" s="30"/>
      <c r="Y120" s="30"/>
      <c r="Z120" s="30"/>
    </row>
    <row r="121">
      <c r="A121" s="30"/>
      <c r="B121" s="30"/>
      <c r="C121" s="30"/>
      <c r="D121" s="37"/>
      <c r="E121" s="37"/>
      <c r="F121" s="37"/>
      <c r="G121" s="37"/>
      <c r="H121" s="37"/>
      <c r="I121" s="37"/>
      <c r="J121" s="37"/>
      <c r="K121" s="37"/>
      <c r="L121" s="37"/>
      <c r="M121" s="37"/>
      <c r="N121" s="37"/>
      <c r="O121" s="37"/>
      <c r="P121" s="37"/>
      <c r="Q121" s="37"/>
      <c r="T121" s="30"/>
      <c r="U121" s="30"/>
      <c r="V121" s="30"/>
      <c r="W121" s="30"/>
      <c r="X121" s="30"/>
      <c r="Y121" s="30"/>
      <c r="Z121" s="30"/>
    </row>
    <row r="122">
      <c r="A122" s="30"/>
      <c r="B122" s="30"/>
      <c r="C122" s="30"/>
      <c r="D122" s="37"/>
      <c r="E122" s="37"/>
      <c r="F122" s="37"/>
      <c r="G122" s="37"/>
      <c r="H122" s="37"/>
      <c r="I122" s="37"/>
      <c r="J122" s="37"/>
      <c r="K122" s="37"/>
      <c r="L122" s="37"/>
      <c r="M122" s="37"/>
      <c r="N122" s="37"/>
      <c r="O122" s="37"/>
      <c r="P122" s="37"/>
      <c r="Q122" s="37"/>
      <c r="T122" s="30"/>
      <c r="U122" s="30"/>
      <c r="V122" s="30"/>
      <c r="W122" s="30"/>
      <c r="X122" s="30"/>
      <c r="Y122" s="30"/>
      <c r="Z122" s="30"/>
    </row>
    <row r="123">
      <c r="A123" s="30"/>
      <c r="B123" s="30"/>
      <c r="C123" s="30"/>
      <c r="D123" s="37"/>
      <c r="E123" s="37"/>
      <c r="F123" s="37"/>
      <c r="G123" s="37"/>
      <c r="H123" s="37"/>
      <c r="I123" s="37"/>
      <c r="J123" s="37"/>
      <c r="K123" s="37"/>
      <c r="L123" s="37"/>
      <c r="M123" s="37"/>
      <c r="N123" s="37"/>
      <c r="O123" s="37"/>
      <c r="P123" s="37"/>
      <c r="Q123" s="37"/>
      <c r="T123" s="30"/>
      <c r="U123" s="30"/>
      <c r="V123" s="30"/>
      <c r="W123" s="30"/>
      <c r="X123" s="30"/>
      <c r="Y123" s="30"/>
      <c r="Z123" s="30"/>
    </row>
    <row r="124">
      <c r="A124" s="30"/>
      <c r="B124" s="30"/>
      <c r="C124" s="30"/>
      <c r="D124" s="37"/>
      <c r="E124" s="37"/>
      <c r="F124" s="37"/>
      <c r="G124" s="37"/>
      <c r="H124" s="37"/>
      <c r="I124" s="37"/>
      <c r="J124" s="37"/>
      <c r="K124" s="37"/>
      <c r="L124" s="37"/>
      <c r="M124" s="37"/>
      <c r="N124" s="37"/>
      <c r="O124" s="37"/>
      <c r="P124" s="37"/>
      <c r="Q124" s="37"/>
      <c r="T124" s="30"/>
      <c r="U124" s="30"/>
      <c r="V124" s="30"/>
      <c r="W124" s="30"/>
      <c r="X124" s="30"/>
      <c r="Y124" s="30"/>
      <c r="Z124" s="30"/>
    </row>
    <row r="125">
      <c r="A125" s="30"/>
      <c r="B125" s="30"/>
      <c r="C125" s="30"/>
      <c r="D125" s="37"/>
      <c r="E125" s="37"/>
      <c r="F125" s="37"/>
      <c r="G125" s="37"/>
      <c r="H125" s="37"/>
      <c r="I125" s="37"/>
      <c r="J125" s="37"/>
      <c r="K125" s="37"/>
      <c r="L125" s="37"/>
      <c r="M125" s="37"/>
      <c r="N125" s="37"/>
      <c r="O125" s="37"/>
      <c r="P125" s="37"/>
      <c r="Q125" s="37"/>
      <c r="T125" s="30"/>
      <c r="U125" s="30"/>
      <c r="V125" s="30"/>
      <c r="W125" s="30"/>
      <c r="X125" s="30"/>
      <c r="Y125" s="30"/>
      <c r="Z125" s="30"/>
    </row>
    <row r="126">
      <c r="A126" s="30"/>
      <c r="B126" s="30"/>
      <c r="C126" s="30"/>
      <c r="D126" s="37"/>
      <c r="E126" s="37"/>
      <c r="F126" s="37"/>
      <c r="G126" s="37"/>
      <c r="H126" s="37"/>
      <c r="I126" s="37"/>
      <c r="J126" s="37"/>
      <c r="K126" s="37"/>
      <c r="L126" s="37"/>
      <c r="M126" s="37"/>
      <c r="N126" s="37"/>
      <c r="O126" s="37"/>
      <c r="P126" s="37"/>
      <c r="Q126" s="37"/>
      <c r="T126" s="30"/>
      <c r="U126" s="30"/>
      <c r="V126" s="30"/>
      <c r="W126" s="30"/>
      <c r="X126" s="30"/>
      <c r="Y126" s="30"/>
      <c r="Z126" s="30"/>
    </row>
    <row r="127">
      <c r="A127" s="30"/>
      <c r="B127" s="30"/>
      <c r="C127" s="30"/>
      <c r="D127" s="37"/>
      <c r="E127" s="37"/>
      <c r="F127" s="37"/>
      <c r="G127" s="37"/>
      <c r="H127" s="37"/>
      <c r="I127" s="37"/>
      <c r="J127" s="37"/>
      <c r="K127" s="37"/>
      <c r="L127" s="37"/>
      <c r="M127" s="37"/>
      <c r="N127" s="37"/>
      <c r="O127" s="37"/>
      <c r="P127" s="37"/>
      <c r="Q127" s="37"/>
      <c r="T127" s="30"/>
      <c r="U127" s="30"/>
      <c r="V127" s="30"/>
      <c r="W127" s="30"/>
      <c r="X127" s="30"/>
      <c r="Y127" s="30"/>
      <c r="Z127" s="30"/>
    </row>
    <row r="128">
      <c r="A128" s="30"/>
      <c r="B128" s="30"/>
      <c r="C128" s="30"/>
      <c r="D128" s="37"/>
      <c r="E128" s="37"/>
      <c r="F128" s="37"/>
      <c r="G128" s="37"/>
      <c r="H128" s="37"/>
      <c r="I128" s="37"/>
      <c r="J128" s="37"/>
      <c r="K128" s="37"/>
      <c r="L128" s="37"/>
      <c r="M128" s="37"/>
      <c r="N128" s="37"/>
      <c r="O128" s="37"/>
      <c r="P128" s="37"/>
      <c r="Q128" s="37"/>
      <c r="T128" s="30"/>
      <c r="U128" s="30"/>
      <c r="V128" s="30"/>
      <c r="W128" s="30"/>
      <c r="X128" s="30"/>
      <c r="Y128" s="30"/>
      <c r="Z128" s="30"/>
    </row>
    <row r="129">
      <c r="A129" s="30"/>
      <c r="B129" s="30"/>
      <c r="C129" s="30"/>
      <c r="D129" s="37"/>
      <c r="E129" s="37"/>
      <c r="F129" s="37"/>
      <c r="G129" s="37"/>
      <c r="H129" s="37"/>
      <c r="I129" s="37"/>
      <c r="J129" s="37"/>
      <c r="K129" s="37"/>
      <c r="L129" s="37"/>
      <c r="M129" s="37"/>
      <c r="N129" s="37"/>
      <c r="O129" s="37"/>
      <c r="P129" s="37"/>
      <c r="Q129" s="37"/>
      <c r="T129" s="30"/>
      <c r="U129" s="30"/>
      <c r="V129" s="30"/>
      <c r="W129" s="30"/>
      <c r="X129" s="30"/>
      <c r="Y129" s="30"/>
      <c r="Z129" s="30"/>
    </row>
    <row r="130">
      <c r="A130" s="30"/>
      <c r="B130" s="30"/>
      <c r="C130" s="30"/>
      <c r="D130" s="37"/>
      <c r="E130" s="37"/>
      <c r="F130" s="37"/>
      <c r="G130" s="37"/>
      <c r="H130" s="37"/>
      <c r="I130" s="37"/>
      <c r="J130" s="37"/>
      <c r="K130" s="37"/>
      <c r="L130" s="37"/>
      <c r="M130" s="37"/>
      <c r="N130" s="37"/>
      <c r="O130" s="37"/>
      <c r="P130" s="37"/>
      <c r="Q130" s="37"/>
      <c r="T130" s="30"/>
      <c r="U130" s="30"/>
      <c r="V130" s="30"/>
      <c r="W130" s="30"/>
      <c r="X130" s="30"/>
      <c r="Y130" s="30"/>
      <c r="Z130" s="30"/>
    </row>
    <row r="131">
      <c r="A131" s="30"/>
      <c r="B131" s="30"/>
      <c r="C131" s="30"/>
      <c r="D131" s="37"/>
      <c r="E131" s="37"/>
      <c r="F131" s="37"/>
      <c r="G131" s="37"/>
      <c r="H131" s="37"/>
      <c r="I131" s="37"/>
      <c r="J131" s="37"/>
      <c r="K131" s="37"/>
      <c r="L131" s="37"/>
      <c r="M131" s="37"/>
      <c r="N131" s="37"/>
      <c r="O131" s="37"/>
      <c r="P131" s="37"/>
      <c r="Q131" s="37"/>
      <c r="T131" s="30"/>
      <c r="U131" s="30"/>
      <c r="V131" s="30"/>
      <c r="W131" s="30"/>
      <c r="X131" s="30"/>
      <c r="Y131" s="30"/>
      <c r="Z131" s="30"/>
    </row>
    <row r="132">
      <c r="A132" s="30"/>
      <c r="B132" s="30"/>
      <c r="C132" s="30"/>
      <c r="D132" s="37"/>
      <c r="E132" s="37"/>
      <c r="F132" s="37"/>
      <c r="G132" s="37"/>
      <c r="H132" s="37"/>
      <c r="I132" s="37"/>
      <c r="J132" s="37"/>
      <c r="K132" s="37"/>
      <c r="L132" s="37"/>
      <c r="M132" s="37"/>
      <c r="N132" s="37"/>
      <c r="O132" s="37"/>
      <c r="P132" s="37"/>
      <c r="Q132" s="37"/>
      <c r="T132" s="30"/>
      <c r="U132" s="30"/>
      <c r="V132" s="30"/>
      <c r="W132" s="30"/>
      <c r="X132" s="30"/>
      <c r="Y132" s="30"/>
      <c r="Z132" s="30"/>
    </row>
    <row r="133">
      <c r="A133" s="30"/>
      <c r="B133" s="30"/>
      <c r="C133" s="30"/>
      <c r="D133" s="37"/>
      <c r="E133" s="37"/>
      <c r="F133" s="37"/>
      <c r="G133" s="37"/>
      <c r="H133" s="37"/>
      <c r="I133" s="37"/>
      <c r="J133" s="37"/>
      <c r="K133" s="37"/>
      <c r="L133" s="37"/>
      <c r="M133" s="37"/>
      <c r="N133" s="37"/>
      <c r="O133" s="37"/>
      <c r="P133" s="37"/>
      <c r="Q133" s="37"/>
      <c r="T133" s="30"/>
      <c r="U133" s="30"/>
      <c r="V133" s="30"/>
      <c r="W133" s="30"/>
      <c r="X133" s="30"/>
      <c r="Y133" s="30"/>
      <c r="Z133" s="30"/>
    </row>
    <row r="134">
      <c r="A134" s="30"/>
      <c r="B134" s="30"/>
      <c r="C134" s="30"/>
      <c r="D134" s="37"/>
      <c r="E134" s="37"/>
      <c r="F134" s="37"/>
      <c r="G134" s="37"/>
      <c r="H134" s="37"/>
      <c r="I134" s="37"/>
      <c r="J134" s="37"/>
      <c r="K134" s="37"/>
      <c r="L134" s="37"/>
      <c r="M134" s="37"/>
      <c r="N134" s="37"/>
      <c r="O134" s="37"/>
      <c r="P134" s="37"/>
      <c r="Q134" s="37"/>
      <c r="T134" s="30"/>
      <c r="U134" s="30"/>
      <c r="V134" s="30"/>
      <c r="W134" s="30"/>
      <c r="X134" s="30"/>
      <c r="Y134" s="30"/>
      <c r="Z134" s="30"/>
    </row>
    <row r="135">
      <c r="A135" s="30"/>
      <c r="B135" s="30"/>
      <c r="C135" s="30"/>
      <c r="D135" s="37"/>
      <c r="E135" s="37"/>
      <c r="F135" s="37"/>
      <c r="G135" s="37"/>
      <c r="H135" s="37"/>
      <c r="I135" s="37"/>
      <c r="J135" s="37"/>
      <c r="K135" s="37"/>
      <c r="L135" s="37"/>
      <c r="M135" s="37"/>
      <c r="N135" s="37"/>
      <c r="O135" s="37"/>
      <c r="P135" s="37"/>
      <c r="Q135" s="37"/>
      <c r="T135" s="30"/>
      <c r="U135" s="30"/>
      <c r="V135" s="30"/>
      <c r="W135" s="30"/>
      <c r="X135" s="30"/>
      <c r="Y135" s="30"/>
      <c r="Z135" s="30"/>
    </row>
    <row r="136">
      <c r="A136" s="30"/>
      <c r="B136" s="30"/>
      <c r="C136" s="30"/>
      <c r="D136" s="37"/>
      <c r="E136" s="37"/>
      <c r="F136" s="37"/>
      <c r="G136" s="37"/>
      <c r="H136" s="37"/>
      <c r="I136" s="37"/>
      <c r="J136" s="37"/>
      <c r="K136" s="37"/>
      <c r="L136" s="37"/>
      <c r="M136" s="37"/>
      <c r="N136" s="37"/>
      <c r="O136" s="37"/>
      <c r="P136" s="37"/>
      <c r="Q136" s="37"/>
      <c r="T136" s="30"/>
      <c r="U136" s="30"/>
      <c r="V136" s="30"/>
      <c r="W136" s="30"/>
      <c r="X136" s="30"/>
      <c r="Y136" s="30"/>
      <c r="Z136" s="30"/>
    </row>
    <row r="137">
      <c r="A137" s="30"/>
      <c r="B137" s="30"/>
      <c r="C137" s="30"/>
      <c r="D137" s="37"/>
      <c r="E137" s="37"/>
      <c r="F137" s="37"/>
      <c r="G137" s="37"/>
      <c r="H137" s="37"/>
      <c r="I137" s="37"/>
      <c r="J137" s="37"/>
      <c r="K137" s="37"/>
      <c r="L137" s="37"/>
      <c r="M137" s="37"/>
      <c r="N137" s="37"/>
      <c r="O137" s="37"/>
      <c r="P137" s="37"/>
      <c r="Q137" s="37"/>
      <c r="T137" s="30"/>
      <c r="U137" s="30"/>
      <c r="V137" s="30"/>
      <c r="W137" s="30"/>
      <c r="X137" s="30"/>
      <c r="Y137" s="30"/>
      <c r="Z137" s="30"/>
    </row>
    <row r="138">
      <c r="A138" s="30"/>
      <c r="B138" s="30"/>
      <c r="C138" s="30"/>
      <c r="D138" s="37"/>
      <c r="E138" s="37"/>
      <c r="F138" s="37"/>
      <c r="G138" s="37"/>
      <c r="H138" s="37"/>
      <c r="I138" s="37"/>
      <c r="J138" s="37"/>
      <c r="K138" s="37"/>
      <c r="L138" s="37"/>
      <c r="M138" s="37"/>
      <c r="N138" s="37"/>
      <c r="O138" s="37"/>
      <c r="P138" s="37"/>
      <c r="Q138" s="37"/>
      <c r="T138" s="30"/>
      <c r="U138" s="30"/>
      <c r="V138" s="30"/>
      <c r="W138" s="30"/>
      <c r="X138" s="30"/>
      <c r="Y138" s="30"/>
      <c r="Z138" s="30"/>
    </row>
    <row r="139">
      <c r="A139" s="30"/>
      <c r="B139" s="30"/>
      <c r="C139" s="30"/>
      <c r="D139" s="37"/>
      <c r="E139" s="37"/>
      <c r="F139" s="37"/>
      <c r="G139" s="37"/>
      <c r="H139" s="37"/>
      <c r="I139" s="37"/>
      <c r="J139" s="37"/>
      <c r="K139" s="37"/>
      <c r="L139" s="37"/>
      <c r="M139" s="37"/>
      <c r="N139" s="37"/>
      <c r="O139" s="37"/>
      <c r="P139" s="37"/>
      <c r="Q139" s="37"/>
      <c r="T139" s="30"/>
      <c r="U139" s="30"/>
      <c r="V139" s="30"/>
      <c r="W139" s="30"/>
      <c r="X139" s="30"/>
      <c r="Y139" s="30"/>
      <c r="Z139" s="30"/>
    </row>
    <row r="140">
      <c r="A140" s="30"/>
      <c r="B140" s="30"/>
      <c r="C140" s="30"/>
      <c r="D140" s="37"/>
      <c r="E140" s="37"/>
      <c r="F140" s="37"/>
      <c r="G140" s="37"/>
      <c r="H140" s="37"/>
      <c r="I140" s="37"/>
      <c r="J140" s="37"/>
      <c r="K140" s="37"/>
      <c r="L140" s="37"/>
      <c r="M140" s="37"/>
      <c r="N140" s="37"/>
      <c r="O140" s="37"/>
      <c r="P140" s="37"/>
      <c r="Q140" s="37"/>
      <c r="T140" s="30"/>
      <c r="U140" s="30"/>
      <c r="V140" s="30"/>
      <c r="W140" s="30"/>
      <c r="X140" s="30"/>
      <c r="Y140" s="30"/>
      <c r="Z140" s="30"/>
    </row>
    <row r="141">
      <c r="A141" s="30"/>
      <c r="B141" s="30"/>
      <c r="C141" s="30"/>
      <c r="D141" s="37"/>
      <c r="E141" s="37"/>
      <c r="F141" s="37"/>
      <c r="G141" s="37"/>
      <c r="H141" s="37"/>
      <c r="I141" s="37"/>
      <c r="J141" s="37"/>
      <c r="K141" s="37"/>
      <c r="L141" s="37"/>
      <c r="M141" s="37"/>
      <c r="N141" s="37"/>
      <c r="O141" s="37"/>
      <c r="P141" s="37"/>
      <c r="Q141" s="37"/>
      <c r="T141" s="30"/>
      <c r="U141" s="30"/>
      <c r="V141" s="30"/>
      <c r="W141" s="30"/>
      <c r="X141" s="30"/>
      <c r="Y141" s="30"/>
      <c r="Z141" s="30"/>
    </row>
    <row r="142">
      <c r="A142" s="30"/>
      <c r="B142" s="30"/>
      <c r="C142" s="30"/>
      <c r="D142" s="37"/>
      <c r="E142" s="37"/>
      <c r="F142" s="37"/>
      <c r="G142" s="37"/>
      <c r="H142" s="37"/>
      <c r="I142" s="37"/>
      <c r="J142" s="37"/>
      <c r="K142" s="37"/>
      <c r="L142" s="37"/>
      <c r="M142" s="37"/>
      <c r="N142" s="37"/>
      <c r="O142" s="37"/>
      <c r="P142" s="37"/>
      <c r="Q142" s="37"/>
      <c r="T142" s="30"/>
      <c r="U142" s="30"/>
      <c r="V142" s="30"/>
      <c r="W142" s="30"/>
      <c r="X142" s="30"/>
      <c r="Y142" s="30"/>
      <c r="Z142" s="30"/>
    </row>
    <row r="143">
      <c r="A143" s="30"/>
      <c r="B143" s="30"/>
      <c r="C143" s="30"/>
      <c r="D143" s="37"/>
      <c r="E143" s="37"/>
      <c r="F143" s="37"/>
      <c r="G143" s="37"/>
      <c r="H143" s="37"/>
      <c r="I143" s="37"/>
      <c r="J143" s="37"/>
      <c r="K143" s="37"/>
      <c r="L143" s="37"/>
      <c r="M143" s="37"/>
      <c r="N143" s="37"/>
      <c r="O143" s="37"/>
      <c r="P143" s="37"/>
      <c r="Q143" s="37"/>
      <c r="T143" s="30"/>
      <c r="U143" s="30"/>
      <c r="V143" s="30"/>
      <c r="W143" s="30"/>
      <c r="X143" s="30"/>
      <c r="Y143" s="30"/>
      <c r="Z143" s="30"/>
    </row>
    <row r="144">
      <c r="A144" s="30"/>
      <c r="B144" s="30"/>
      <c r="C144" s="30"/>
      <c r="D144" s="37"/>
      <c r="E144" s="37"/>
      <c r="F144" s="37"/>
      <c r="G144" s="37"/>
      <c r="H144" s="37"/>
      <c r="I144" s="37"/>
      <c r="J144" s="37"/>
      <c r="K144" s="37"/>
      <c r="L144" s="37"/>
      <c r="M144" s="37"/>
      <c r="N144" s="37"/>
      <c r="O144" s="37"/>
      <c r="P144" s="37"/>
      <c r="Q144" s="37"/>
      <c r="T144" s="30"/>
      <c r="U144" s="30"/>
      <c r="V144" s="30"/>
      <c r="W144" s="30"/>
      <c r="X144" s="30"/>
      <c r="Y144" s="30"/>
      <c r="Z144" s="30"/>
    </row>
    <row r="145">
      <c r="A145" s="30"/>
      <c r="B145" s="30"/>
      <c r="C145" s="30"/>
      <c r="D145" s="37"/>
      <c r="E145" s="37"/>
      <c r="F145" s="37"/>
      <c r="G145" s="37"/>
      <c r="H145" s="37"/>
      <c r="I145" s="37"/>
      <c r="J145" s="37"/>
      <c r="K145" s="37"/>
      <c r="L145" s="37"/>
      <c r="M145" s="37"/>
      <c r="N145" s="37"/>
      <c r="O145" s="37"/>
      <c r="P145" s="37"/>
      <c r="Q145" s="37"/>
      <c r="T145" s="30"/>
      <c r="U145" s="30"/>
      <c r="V145" s="30"/>
      <c r="W145" s="30"/>
      <c r="X145" s="30"/>
      <c r="Y145" s="30"/>
      <c r="Z145" s="30"/>
    </row>
    <row r="146">
      <c r="A146" s="30"/>
      <c r="B146" s="30"/>
      <c r="C146" s="30"/>
      <c r="D146" s="37"/>
      <c r="E146" s="37"/>
      <c r="F146" s="37"/>
      <c r="G146" s="37"/>
      <c r="H146" s="37"/>
      <c r="I146" s="37"/>
      <c r="J146" s="37"/>
      <c r="K146" s="37"/>
      <c r="L146" s="37"/>
      <c r="M146" s="37"/>
      <c r="N146" s="37"/>
      <c r="O146" s="37"/>
      <c r="P146" s="37"/>
      <c r="Q146" s="37"/>
      <c r="T146" s="30"/>
      <c r="U146" s="30"/>
      <c r="V146" s="30"/>
      <c r="W146" s="30"/>
      <c r="X146" s="30"/>
      <c r="Y146" s="30"/>
      <c r="Z146" s="30"/>
    </row>
    <row r="147">
      <c r="A147" s="30"/>
      <c r="B147" s="30"/>
      <c r="C147" s="30"/>
      <c r="D147" s="37"/>
      <c r="E147" s="37"/>
      <c r="F147" s="37"/>
      <c r="G147" s="37"/>
      <c r="H147" s="37"/>
      <c r="I147" s="37"/>
      <c r="J147" s="37"/>
      <c r="K147" s="37"/>
      <c r="L147" s="37"/>
      <c r="M147" s="37"/>
      <c r="N147" s="37"/>
      <c r="O147" s="37"/>
      <c r="P147" s="37"/>
      <c r="Q147" s="37"/>
      <c r="T147" s="30"/>
      <c r="U147" s="30"/>
      <c r="V147" s="30"/>
      <c r="W147" s="30"/>
      <c r="X147" s="30"/>
      <c r="Y147" s="30"/>
      <c r="Z147" s="30"/>
    </row>
    <row r="148">
      <c r="A148" s="30"/>
      <c r="B148" s="30"/>
      <c r="C148" s="30"/>
      <c r="D148" s="37"/>
      <c r="E148" s="37"/>
      <c r="F148" s="37"/>
      <c r="G148" s="37"/>
      <c r="H148" s="37"/>
      <c r="I148" s="37"/>
      <c r="J148" s="37"/>
      <c r="K148" s="37"/>
      <c r="L148" s="37"/>
      <c r="M148" s="37"/>
      <c r="N148" s="37"/>
      <c r="O148" s="37"/>
      <c r="P148" s="37"/>
      <c r="Q148" s="37"/>
      <c r="T148" s="30"/>
      <c r="U148" s="30"/>
      <c r="V148" s="30"/>
      <c r="W148" s="30"/>
      <c r="X148" s="30"/>
      <c r="Y148" s="30"/>
      <c r="Z148" s="30"/>
    </row>
    <row r="149">
      <c r="A149" s="30"/>
      <c r="B149" s="30"/>
      <c r="C149" s="30"/>
      <c r="D149" s="37"/>
      <c r="E149" s="37"/>
      <c r="F149" s="37"/>
      <c r="G149" s="37"/>
      <c r="H149" s="37"/>
      <c r="I149" s="37"/>
      <c r="J149" s="37"/>
      <c r="K149" s="37"/>
      <c r="L149" s="37"/>
      <c r="M149" s="37"/>
      <c r="N149" s="37"/>
      <c r="O149" s="37"/>
      <c r="P149" s="37"/>
      <c r="Q149" s="37"/>
      <c r="T149" s="30"/>
      <c r="U149" s="30"/>
      <c r="V149" s="30"/>
      <c r="W149" s="30"/>
      <c r="X149" s="30"/>
      <c r="Y149" s="30"/>
      <c r="Z149" s="30"/>
    </row>
    <row r="150">
      <c r="A150" s="30"/>
      <c r="B150" s="30"/>
      <c r="C150" s="30"/>
      <c r="D150" s="37"/>
      <c r="E150" s="37"/>
      <c r="F150" s="37"/>
      <c r="G150" s="37"/>
      <c r="H150" s="37"/>
      <c r="I150" s="37"/>
      <c r="J150" s="37"/>
      <c r="K150" s="37"/>
      <c r="L150" s="37"/>
      <c r="M150" s="37"/>
      <c r="N150" s="37"/>
      <c r="O150" s="37"/>
      <c r="P150" s="37"/>
      <c r="Q150" s="37"/>
      <c r="T150" s="30"/>
      <c r="U150" s="30"/>
      <c r="V150" s="30"/>
      <c r="W150" s="30"/>
      <c r="X150" s="30"/>
      <c r="Y150" s="30"/>
      <c r="Z150" s="30"/>
    </row>
    <row r="151">
      <c r="A151" s="30"/>
      <c r="B151" s="30"/>
      <c r="C151" s="30"/>
      <c r="D151" s="37"/>
      <c r="E151" s="37"/>
      <c r="F151" s="37"/>
      <c r="G151" s="37"/>
      <c r="H151" s="37"/>
      <c r="I151" s="37"/>
      <c r="J151" s="37"/>
      <c r="K151" s="37"/>
      <c r="L151" s="37"/>
      <c r="M151" s="37"/>
      <c r="N151" s="37"/>
      <c r="O151" s="37"/>
      <c r="P151" s="37"/>
      <c r="Q151" s="37"/>
      <c r="T151" s="30"/>
      <c r="U151" s="30"/>
      <c r="V151" s="30"/>
      <c r="W151" s="30"/>
      <c r="X151" s="30"/>
      <c r="Y151" s="30"/>
      <c r="Z151" s="30"/>
    </row>
    <row r="152">
      <c r="A152" s="30"/>
      <c r="B152" s="30"/>
      <c r="C152" s="30"/>
      <c r="D152" s="37"/>
      <c r="E152" s="37"/>
      <c r="F152" s="37"/>
      <c r="G152" s="37"/>
      <c r="H152" s="37"/>
      <c r="I152" s="37"/>
      <c r="J152" s="37"/>
      <c r="K152" s="37"/>
      <c r="L152" s="37"/>
      <c r="M152" s="37"/>
      <c r="N152" s="37"/>
      <c r="O152" s="37"/>
      <c r="P152" s="37"/>
      <c r="Q152" s="37"/>
      <c r="T152" s="30"/>
      <c r="U152" s="30"/>
      <c r="V152" s="30"/>
      <c r="W152" s="30"/>
      <c r="X152" s="30"/>
      <c r="Y152" s="30"/>
      <c r="Z152" s="30"/>
    </row>
    <row r="153">
      <c r="A153" s="30"/>
      <c r="B153" s="30"/>
      <c r="C153" s="30"/>
      <c r="D153" s="37"/>
      <c r="E153" s="37"/>
      <c r="F153" s="37"/>
      <c r="G153" s="37"/>
      <c r="H153" s="37"/>
      <c r="I153" s="37"/>
      <c r="J153" s="37"/>
      <c r="K153" s="37"/>
      <c r="L153" s="37"/>
      <c r="M153" s="37"/>
      <c r="N153" s="37"/>
      <c r="O153" s="37"/>
      <c r="P153" s="37"/>
      <c r="Q153" s="37"/>
      <c r="T153" s="30"/>
      <c r="U153" s="30"/>
      <c r="V153" s="30"/>
      <c r="W153" s="30"/>
      <c r="X153" s="30"/>
      <c r="Y153" s="30"/>
      <c r="Z153" s="30"/>
    </row>
    <row r="154">
      <c r="A154" s="30"/>
      <c r="B154" s="30"/>
      <c r="C154" s="30"/>
      <c r="D154" s="37"/>
      <c r="E154" s="37"/>
      <c r="F154" s="37"/>
      <c r="G154" s="37"/>
      <c r="H154" s="37"/>
      <c r="I154" s="37"/>
      <c r="J154" s="37"/>
      <c r="K154" s="37"/>
      <c r="L154" s="37"/>
      <c r="M154" s="37"/>
      <c r="N154" s="37"/>
      <c r="O154" s="37"/>
      <c r="P154" s="37"/>
      <c r="Q154" s="37"/>
      <c r="T154" s="30"/>
      <c r="U154" s="30"/>
      <c r="V154" s="30"/>
      <c r="W154" s="30"/>
      <c r="X154" s="30"/>
      <c r="Y154" s="30"/>
      <c r="Z154" s="30"/>
    </row>
    <row r="155">
      <c r="A155" s="30"/>
      <c r="B155" s="30"/>
      <c r="C155" s="30"/>
      <c r="D155" s="37"/>
      <c r="E155" s="37"/>
      <c r="F155" s="37"/>
      <c r="G155" s="37"/>
      <c r="H155" s="37"/>
      <c r="I155" s="37"/>
      <c r="J155" s="37"/>
      <c r="K155" s="37"/>
      <c r="L155" s="37"/>
      <c r="M155" s="37"/>
      <c r="N155" s="37"/>
      <c r="O155" s="37"/>
      <c r="P155" s="37"/>
      <c r="Q155" s="37"/>
      <c r="T155" s="30"/>
      <c r="U155" s="30"/>
      <c r="V155" s="30"/>
      <c r="W155" s="30"/>
      <c r="X155" s="30"/>
      <c r="Y155" s="30"/>
      <c r="Z155" s="30"/>
    </row>
    <row r="156">
      <c r="A156" s="30"/>
      <c r="B156" s="30"/>
      <c r="C156" s="30"/>
      <c r="D156" s="37"/>
      <c r="E156" s="37"/>
      <c r="F156" s="37"/>
      <c r="G156" s="37"/>
      <c r="H156" s="37"/>
      <c r="I156" s="37"/>
      <c r="J156" s="37"/>
      <c r="K156" s="37"/>
      <c r="L156" s="37"/>
      <c r="M156" s="37"/>
      <c r="N156" s="37"/>
      <c r="O156" s="37"/>
      <c r="P156" s="37"/>
      <c r="Q156" s="37"/>
      <c r="T156" s="30"/>
      <c r="U156" s="30"/>
      <c r="V156" s="30"/>
      <c r="W156" s="30"/>
      <c r="X156" s="30"/>
      <c r="Y156" s="30"/>
      <c r="Z156" s="30"/>
    </row>
    <row r="157">
      <c r="A157" s="30"/>
      <c r="B157" s="30"/>
      <c r="C157" s="30"/>
      <c r="D157" s="37"/>
      <c r="E157" s="37"/>
      <c r="F157" s="37"/>
      <c r="G157" s="37"/>
      <c r="H157" s="37"/>
      <c r="I157" s="37"/>
      <c r="J157" s="37"/>
      <c r="K157" s="37"/>
      <c r="L157" s="37"/>
      <c r="M157" s="37"/>
      <c r="N157" s="37"/>
      <c r="O157" s="37"/>
      <c r="P157" s="37"/>
      <c r="Q157" s="37"/>
      <c r="T157" s="30"/>
      <c r="U157" s="30"/>
      <c r="V157" s="30"/>
      <c r="W157" s="30"/>
      <c r="X157" s="30"/>
      <c r="Y157" s="30"/>
      <c r="Z157" s="30"/>
    </row>
    <row r="158">
      <c r="A158" s="30"/>
      <c r="B158" s="30"/>
      <c r="C158" s="30"/>
      <c r="D158" s="37"/>
      <c r="E158" s="37"/>
      <c r="F158" s="37"/>
      <c r="G158" s="37"/>
      <c r="H158" s="37"/>
      <c r="I158" s="37"/>
      <c r="J158" s="37"/>
      <c r="K158" s="37"/>
      <c r="L158" s="37"/>
      <c r="M158" s="37"/>
      <c r="N158" s="37"/>
      <c r="O158" s="37"/>
      <c r="P158" s="37"/>
      <c r="Q158" s="37"/>
      <c r="T158" s="30"/>
      <c r="U158" s="30"/>
      <c r="V158" s="30"/>
      <c r="W158" s="30"/>
      <c r="X158" s="30"/>
      <c r="Y158" s="30"/>
      <c r="Z158" s="30"/>
    </row>
    <row r="159">
      <c r="A159" s="30"/>
      <c r="B159" s="30"/>
      <c r="C159" s="30"/>
      <c r="D159" s="37"/>
      <c r="E159" s="37"/>
      <c r="F159" s="37"/>
      <c r="G159" s="37"/>
      <c r="H159" s="37"/>
      <c r="I159" s="37"/>
      <c r="J159" s="37"/>
      <c r="K159" s="37"/>
      <c r="L159" s="37"/>
      <c r="M159" s="37"/>
      <c r="N159" s="37"/>
      <c r="O159" s="37"/>
      <c r="P159" s="37"/>
      <c r="Q159" s="37"/>
      <c r="T159" s="30"/>
      <c r="U159" s="30"/>
      <c r="V159" s="30"/>
      <c r="W159" s="30"/>
      <c r="X159" s="30"/>
      <c r="Y159" s="30"/>
      <c r="Z159" s="30"/>
    </row>
    <row r="160">
      <c r="A160" s="30"/>
      <c r="B160" s="30"/>
      <c r="C160" s="30"/>
      <c r="D160" s="37"/>
      <c r="E160" s="37"/>
      <c r="F160" s="37"/>
      <c r="G160" s="37"/>
      <c r="H160" s="37"/>
      <c r="I160" s="37"/>
      <c r="J160" s="37"/>
      <c r="K160" s="37"/>
      <c r="L160" s="37"/>
      <c r="M160" s="37"/>
      <c r="N160" s="37"/>
      <c r="O160" s="37"/>
      <c r="P160" s="37"/>
      <c r="Q160" s="37"/>
      <c r="T160" s="30"/>
      <c r="U160" s="30"/>
      <c r="V160" s="30"/>
      <c r="W160" s="30"/>
      <c r="X160" s="30"/>
      <c r="Y160" s="30"/>
      <c r="Z160" s="30"/>
    </row>
    <row r="161">
      <c r="A161" s="30"/>
      <c r="B161" s="30"/>
      <c r="C161" s="30"/>
      <c r="D161" s="37"/>
      <c r="E161" s="37"/>
      <c r="F161" s="37"/>
      <c r="G161" s="37"/>
      <c r="H161" s="37"/>
      <c r="I161" s="37"/>
      <c r="J161" s="37"/>
      <c r="K161" s="37"/>
      <c r="L161" s="37"/>
      <c r="M161" s="37"/>
      <c r="N161" s="37"/>
      <c r="O161" s="37"/>
      <c r="P161" s="37"/>
      <c r="Q161" s="37"/>
      <c r="T161" s="30"/>
      <c r="U161" s="30"/>
      <c r="V161" s="30"/>
      <c r="W161" s="30"/>
      <c r="X161" s="30"/>
      <c r="Y161" s="30"/>
      <c r="Z161" s="30"/>
    </row>
    <row r="162">
      <c r="A162" s="30"/>
      <c r="B162" s="30"/>
      <c r="C162" s="30"/>
      <c r="D162" s="37"/>
      <c r="E162" s="37"/>
      <c r="F162" s="37"/>
      <c r="G162" s="37"/>
      <c r="H162" s="37"/>
      <c r="I162" s="37"/>
      <c r="J162" s="37"/>
      <c r="K162" s="37"/>
      <c r="L162" s="37"/>
      <c r="M162" s="37"/>
      <c r="N162" s="37"/>
      <c r="O162" s="37"/>
      <c r="P162" s="37"/>
      <c r="Q162" s="37"/>
      <c r="T162" s="30"/>
      <c r="U162" s="30"/>
      <c r="V162" s="30"/>
      <c r="W162" s="30"/>
      <c r="X162" s="30"/>
      <c r="Y162" s="30"/>
      <c r="Z162" s="30"/>
    </row>
    <row r="163">
      <c r="A163" s="30"/>
      <c r="B163" s="30"/>
      <c r="C163" s="30"/>
      <c r="D163" s="37"/>
      <c r="E163" s="37"/>
      <c r="F163" s="37"/>
      <c r="G163" s="37"/>
      <c r="H163" s="37"/>
      <c r="I163" s="37"/>
      <c r="J163" s="37"/>
      <c r="K163" s="37"/>
      <c r="L163" s="37"/>
      <c r="M163" s="37"/>
      <c r="N163" s="37"/>
      <c r="O163" s="37"/>
      <c r="P163" s="37"/>
      <c r="Q163" s="37"/>
      <c r="T163" s="30"/>
      <c r="U163" s="30"/>
      <c r="V163" s="30"/>
      <c r="W163" s="30"/>
      <c r="X163" s="30"/>
      <c r="Y163" s="30"/>
      <c r="Z163" s="30"/>
    </row>
    <row r="164">
      <c r="A164" s="30"/>
      <c r="B164" s="30"/>
      <c r="C164" s="30"/>
      <c r="D164" s="37"/>
      <c r="E164" s="37"/>
      <c r="F164" s="37"/>
      <c r="G164" s="37"/>
      <c r="H164" s="37"/>
      <c r="I164" s="37"/>
      <c r="J164" s="37"/>
      <c r="K164" s="37"/>
      <c r="L164" s="37"/>
      <c r="M164" s="37"/>
      <c r="N164" s="37"/>
      <c r="O164" s="37"/>
      <c r="P164" s="37"/>
      <c r="Q164" s="37"/>
      <c r="T164" s="30"/>
      <c r="U164" s="30"/>
      <c r="V164" s="30"/>
      <c r="W164" s="30"/>
      <c r="X164" s="30"/>
      <c r="Y164" s="30"/>
      <c r="Z164" s="30"/>
    </row>
    <row r="165">
      <c r="A165" s="30"/>
      <c r="B165" s="30"/>
      <c r="C165" s="30"/>
      <c r="D165" s="37"/>
      <c r="E165" s="37"/>
      <c r="F165" s="37"/>
      <c r="G165" s="37"/>
      <c r="H165" s="37"/>
      <c r="I165" s="37"/>
      <c r="J165" s="37"/>
      <c r="K165" s="37"/>
      <c r="L165" s="37"/>
      <c r="M165" s="37"/>
      <c r="N165" s="37"/>
      <c r="O165" s="37"/>
      <c r="P165" s="37"/>
      <c r="Q165" s="37"/>
      <c r="T165" s="30"/>
      <c r="U165" s="30"/>
      <c r="V165" s="30"/>
      <c r="W165" s="30"/>
      <c r="X165" s="30"/>
      <c r="Y165" s="30"/>
      <c r="Z165" s="30"/>
    </row>
    <row r="166">
      <c r="A166" s="30"/>
      <c r="B166" s="30"/>
      <c r="C166" s="30"/>
      <c r="D166" s="37"/>
      <c r="E166" s="37"/>
      <c r="F166" s="37"/>
      <c r="G166" s="37"/>
      <c r="H166" s="37"/>
      <c r="I166" s="37"/>
      <c r="J166" s="37"/>
      <c r="K166" s="37"/>
      <c r="L166" s="37"/>
      <c r="M166" s="37"/>
      <c r="N166" s="37"/>
      <c r="O166" s="37"/>
      <c r="P166" s="37"/>
      <c r="Q166" s="37"/>
      <c r="T166" s="30"/>
      <c r="U166" s="30"/>
      <c r="V166" s="30"/>
      <c r="W166" s="30"/>
      <c r="X166" s="30"/>
      <c r="Y166" s="30"/>
      <c r="Z166" s="30"/>
    </row>
    <row r="167">
      <c r="A167" s="30"/>
      <c r="B167" s="30"/>
      <c r="C167" s="30"/>
      <c r="D167" s="37"/>
      <c r="E167" s="37"/>
      <c r="F167" s="37"/>
      <c r="G167" s="37"/>
      <c r="H167" s="37"/>
      <c r="I167" s="37"/>
      <c r="J167" s="37"/>
      <c r="K167" s="37"/>
      <c r="L167" s="37"/>
      <c r="M167" s="37"/>
      <c r="N167" s="37"/>
      <c r="O167" s="37"/>
      <c r="P167" s="37"/>
      <c r="Q167" s="37"/>
      <c r="T167" s="30"/>
      <c r="U167" s="30"/>
      <c r="V167" s="30"/>
      <c r="W167" s="30"/>
      <c r="X167" s="30"/>
      <c r="Y167" s="30"/>
      <c r="Z167" s="30"/>
    </row>
    <row r="168">
      <c r="A168" s="30"/>
      <c r="B168" s="30"/>
      <c r="C168" s="30"/>
      <c r="D168" s="37"/>
      <c r="E168" s="37"/>
      <c r="F168" s="37"/>
      <c r="G168" s="37"/>
      <c r="H168" s="37"/>
      <c r="I168" s="37"/>
      <c r="J168" s="37"/>
      <c r="K168" s="37"/>
      <c r="L168" s="37"/>
      <c r="M168" s="37"/>
      <c r="N168" s="37"/>
      <c r="O168" s="37"/>
      <c r="P168" s="37"/>
      <c r="Q168" s="37"/>
      <c r="T168" s="30"/>
      <c r="U168" s="30"/>
      <c r="V168" s="30"/>
      <c r="W168" s="30"/>
      <c r="X168" s="30"/>
      <c r="Y168" s="30"/>
      <c r="Z168" s="30"/>
    </row>
    <row r="169">
      <c r="A169" s="30"/>
      <c r="B169" s="30"/>
      <c r="C169" s="30"/>
      <c r="D169" s="37"/>
      <c r="E169" s="37"/>
      <c r="F169" s="37"/>
      <c r="G169" s="37"/>
      <c r="H169" s="37"/>
      <c r="I169" s="37"/>
      <c r="J169" s="37"/>
      <c r="K169" s="37"/>
      <c r="L169" s="37"/>
      <c r="M169" s="37"/>
      <c r="N169" s="37"/>
      <c r="O169" s="37"/>
      <c r="P169" s="37"/>
      <c r="Q169" s="37"/>
      <c r="T169" s="30"/>
      <c r="U169" s="30"/>
      <c r="V169" s="30"/>
      <c r="W169" s="30"/>
      <c r="X169" s="30"/>
      <c r="Y169" s="30"/>
      <c r="Z169" s="30"/>
    </row>
    <row r="170">
      <c r="A170" s="30"/>
      <c r="B170" s="30"/>
      <c r="C170" s="30"/>
      <c r="D170" s="37"/>
      <c r="E170" s="37"/>
      <c r="F170" s="37"/>
      <c r="G170" s="37"/>
      <c r="H170" s="37"/>
      <c r="I170" s="37"/>
      <c r="J170" s="37"/>
      <c r="K170" s="37"/>
      <c r="L170" s="37"/>
      <c r="M170" s="37"/>
      <c r="N170" s="37"/>
      <c r="O170" s="37"/>
      <c r="P170" s="37"/>
      <c r="Q170" s="37"/>
      <c r="T170" s="30"/>
      <c r="U170" s="30"/>
      <c r="V170" s="30"/>
      <c r="W170" s="30"/>
      <c r="X170" s="30"/>
      <c r="Y170" s="30"/>
      <c r="Z170" s="30"/>
    </row>
    <row r="171">
      <c r="A171" s="30"/>
      <c r="B171" s="30"/>
      <c r="C171" s="30"/>
      <c r="D171" s="37"/>
      <c r="E171" s="37"/>
      <c r="F171" s="37"/>
      <c r="G171" s="37"/>
      <c r="H171" s="37"/>
      <c r="I171" s="37"/>
      <c r="J171" s="37"/>
      <c r="K171" s="37"/>
      <c r="L171" s="37"/>
      <c r="M171" s="37"/>
      <c r="N171" s="37"/>
      <c r="O171" s="37"/>
      <c r="P171" s="37"/>
      <c r="Q171" s="37"/>
      <c r="T171" s="30"/>
      <c r="U171" s="30"/>
      <c r="V171" s="30"/>
      <c r="W171" s="30"/>
      <c r="X171" s="30"/>
      <c r="Y171" s="30"/>
      <c r="Z171" s="30"/>
    </row>
    <row r="172">
      <c r="A172" s="30"/>
      <c r="B172" s="30"/>
      <c r="C172" s="30"/>
      <c r="D172" s="37"/>
      <c r="E172" s="37"/>
      <c r="F172" s="37"/>
      <c r="G172" s="37"/>
      <c r="H172" s="37"/>
      <c r="I172" s="37"/>
      <c r="J172" s="37"/>
      <c r="K172" s="37"/>
      <c r="L172" s="37"/>
      <c r="M172" s="37"/>
      <c r="N172" s="37"/>
      <c r="O172" s="37"/>
      <c r="P172" s="37"/>
      <c r="Q172" s="37"/>
      <c r="T172" s="30"/>
      <c r="U172" s="30"/>
      <c r="V172" s="30"/>
      <c r="W172" s="30"/>
      <c r="X172" s="30"/>
      <c r="Y172" s="30"/>
      <c r="Z172" s="30"/>
    </row>
    <row r="173">
      <c r="A173" s="30"/>
      <c r="B173" s="30"/>
      <c r="C173" s="30"/>
      <c r="D173" s="37"/>
      <c r="E173" s="37"/>
      <c r="F173" s="37"/>
      <c r="G173" s="37"/>
      <c r="H173" s="37"/>
      <c r="I173" s="37"/>
      <c r="J173" s="37"/>
      <c r="K173" s="37"/>
      <c r="L173" s="37"/>
      <c r="M173" s="37"/>
      <c r="N173" s="37"/>
      <c r="O173" s="37"/>
      <c r="P173" s="37"/>
      <c r="Q173" s="37"/>
      <c r="T173" s="30"/>
      <c r="U173" s="30"/>
      <c r="V173" s="30"/>
      <c r="W173" s="30"/>
      <c r="X173" s="30"/>
      <c r="Y173" s="30"/>
      <c r="Z173" s="30"/>
    </row>
    <row r="174">
      <c r="A174" s="30"/>
      <c r="B174" s="30"/>
      <c r="C174" s="30"/>
      <c r="D174" s="37"/>
      <c r="E174" s="37"/>
      <c r="F174" s="37"/>
      <c r="G174" s="37"/>
      <c r="H174" s="37"/>
      <c r="I174" s="37"/>
      <c r="J174" s="37"/>
      <c r="K174" s="37"/>
      <c r="L174" s="37"/>
      <c r="M174" s="37"/>
      <c r="N174" s="37"/>
      <c r="O174" s="37"/>
      <c r="P174" s="37"/>
      <c r="Q174" s="37"/>
      <c r="T174" s="30"/>
      <c r="U174" s="30"/>
      <c r="V174" s="30"/>
      <c r="W174" s="30"/>
      <c r="X174" s="30"/>
      <c r="Y174" s="30"/>
      <c r="Z174" s="30"/>
    </row>
    <row r="175">
      <c r="A175" s="30"/>
      <c r="B175" s="30"/>
      <c r="C175" s="30"/>
      <c r="D175" s="37"/>
      <c r="E175" s="37"/>
      <c r="F175" s="37"/>
      <c r="G175" s="37"/>
      <c r="H175" s="37"/>
      <c r="I175" s="37"/>
      <c r="J175" s="37"/>
      <c r="K175" s="37"/>
      <c r="L175" s="37"/>
      <c r="M175" s="37"/>
      <c r="N175" s="37"/>
      <c r="O175" s="37"/>
      <c r="P175" s="37"/>
      <c r="Q175" s="37"/>
      <c r="T175" s="30"/>
      <c r="U175" s="30"/>
      <c r="V175" s="30"/>
      <c r="W175" s="30"/>
      <c r="X175" s="30"/>
      <c r="Y175" s="30"/>
      <c r="Z175" s="30"/>
    </row>
    <row r="176">
      <c r="A176" s="30"/>
      <c r="B176" s="30"/>
      <c r="C176" s="30"/>
      <c r="D176" s="37"/>
      <c r="E176" s="37"/>
      <c r="F176" s="37"/>
      <c r="G176" s="37"/>
      <c r="H176" s="37"/>
      <c r="I176" s="37"/>
      <c r="J176" s="37"/>
      <c r="K176" s="37"/>
      <c r="L176" s="37"/>
      <c r="M176" s="37"/>
      <c r="N176" s="37"/>
      <c r="O176" s="37"/>
      <c r="P176" s="37"/>
      <c r="Q176" s="37"/>
      <c r="T176" s="30"/>
      <c r="U176" s="30"/>
      <c r="V176" s="30"/>
      <c r="W176" s="30"/>
      <c r="X176" s="30"/>
      <c r="Y176" s="30"/>
      <c r="Z176" s="30"/>
    </row>
    <row r="177">
      <c r="A177" s="30"/>
      <c r="B177" s="30"/>
      <c r="C177" s="30"/>
      <c r="D177" s="37"/>
      <c r="E177" s="37"/>
      <c r="F177" s="37"/>
      <c r="G177" s="37"/>
      <c r="H177" s="37"/>
      <c r="I177" s="37"/>
      <c r="J177" s="37"/>
      <c r="K177" s="37"/>
      <c r="L177" s="37"/>
      <c r="M177" s="37"/>
      <c r="N177" s="37"/>
      <c r="O177" s="37"/>
      <c r="P177" s="37"/>
      <c r="Q177" s="37"/>
      <c r="T177" s="30"/>
      <c r="U177" s="30"/>
      <c r="V177" s="30"/>
      <c r="W177" s="30"/>
      <c r="X177" s="30"/>
      <c r="Y177" s="30"/>
      <c r="Z177" s="30"/>
    </row>
    <row r="178">
      <c r="A178" s="30"/>
      <c r="B178" s="30"/>
      <c r="C178" s="30"/>
      <c r="D178" s="37"/>
      <c r="E178" s="37"/>
      <c r="F178" s="37"/>
      <c r="G178" s="37"/>
      <c r="H178" s="37"/>
      <c r="I178" s="37"/>
      <c r="J178" s="37"/>
      <c r="K178" s="37"/>
      <c r="L178" s="37"/>
      <c r="M178" s="37"/>
      <c r="N178" s="37"/>
      <c r="O178" s="37"/>
      <c r="P178" s="37"/>
      <c r="Q178" s="37"/>
      <c r="T178" s="30"/>
      <c r="U178" s="30"/>
      <c r="V178" s="30"/>
      <c r="W178" s="30"/>
      <c r="X178" s="30"/>
      <c r="Y178" s="30"/>
      <c r="Z178" s="30"/>
    </row>
    <row r="179">
      <c r="A179" s="30"/>
      <c r="B179" s="30"/>
      <c r="C179" s="30"/>
      <c r="D179" s="37"/>
      <c r="E179" s="37"/>
      <c r="F179" s="37"/>
      <c r="G179" s="37"/>
      <c r="H179" s="37"/>
      <c r="I179" s="37"/>
      <c r="J179" s="37"/>
      <c r="K179" s="37"/>
      <c r="L179" s="37"/>
      <c r="M179" s="37"/>
      <c r="N179" s="37"/>
      <c r="O179" s="37"/>
      <c r="P179" s="37"/>
      <c r="Q179" s="37"/>
      <c r="T179" s="30"/>
      <c r="U179" s="30"/>
      <c r="V179" s="30"/>
      <c r="W179" s="30"/>
      <c r="X179" s="30"/>
      <c r="Y179" s="30"/>
      <c r="Z179" s="30"/>
    </row>
    <row r="180">
      <c r="A180" s="30"/>
      <c r="B180" s="30"/>
      <c r="C180" s="30"/>
      <c r="D180" s="37"/>
      <c r="E180" s="37"/>
      <c r="F180" s="37"/>
      <c r="G180" s="37"/>
      <c r="H180" s="37"/>
      <c r="I180" s="37"/>
      <c r="J180" s="37"/>
      <c r="K180" s="37"/>
      <c r="L180" s="37"/>
      <c r="M180" s="37"/>
      <c r="N180" s="37"/>
      <c r="O180" s="37"/>
      <c r="P180" s="37"/>
      <c r="Q180" s="37"/>
      <c r="T180" s="30"/>
      <c r="U180" s="30"/>
      <c r="V180" s="30"/>
      <c r="W180" s="30"/>
      <c r="X180" s="30"/>
      <c r="Y180" s="30"/>
      <c r="Z180" s="30"/>
    </row>
    <row r="181">
      <c r="A181" s="30"/>
      <c r="B181" s="30"/>
      <c r="C181" s="30"/>
      <c r="D181" s="37"/>
      <c r="E181" s="37"/>
      <c r="F181" s="37"/>
      <c r="G181" s="37"/>
      <c r="H181" s="37"/>
      <c r="I181" s="37"/>
      <c r="J181" s="37"/>
      <c r="K181" s="37"/>
      <c r="L181" s="37"/>
      <c r="M181" s="37"/>
      <c r="N181" s="37"/>
      <c r="O181" s="37"/>
      <c r="P181" s="37"/>
      <c r="Q181" s="37"/>
      <c r="T181" s="30"/>
      <c r="U181" s="30"/>
      <c r="V181" s="30"/>
      <c r="W181" s="30"/>
      <c r="X181" s="30"/>
      <c r="Y181" s="30"/>
      <c r="Z181" s="30"/>
    </row>
    <row r="182">
      <c r="A182" s="30"/>
      <c r="B182" s="30"/>
      <c r="C182" s="30"/>
      <c r="D182" s="37"/>
      <c r="E182" s="37"/>
      <c r="F182" s="37"/>
      <c r="G182" s="37"/>
      <c r="H182" s="37"/>
      <c r="I182" s="37"/>
      <c r="J182" s="37"/>
      <c r="K182" s="37"/>
      <c r="L182" s="37"/>
      <c r="M182" s="37"/>
      <c r="N182" s="37"/>
      <c r="O182" s="37"/>
      <c r="P182" s="37"/>
      <c r="Q182" s="37"/>
      <c r="T182" s="30"/>
      <c r="U182" s="30"/>
      <c r="V182" s="30"/>
      <c r="W182" s="30"/>
      <c r="X182" s="30"/>
      <c r="Y182" s="30"/>
      <c r="Z182" s="30"/>
    </row>
    <row r="183">
      <c r="A183" s="30"/>
      <c r="B183" s="30"/>
      <c r="C183" s="30"/>
      <c r="D183" s="37"/>
      <c r="E183" s="37"/>
      <c r="F183" s="37"/>
      <c r="G183" s="37"/>
      <c r="H183" s="37"/>
      <c r="I183" s="37"/>
      <c r="J183" s="37"/>
      <c r="K183" s="37"/>
      <c r="L183" s="37"/>
      <c r="M183" s="37"/>
      <c r="N183" s="37"/>
      <c r="O183" s="37"/>
      <c r="P183" s="37"/>
      <c r="Q183" s="37"/>
      <c r="T183" s="30"/>
      <c r="U183" s="30"/>
      <c r="V183" s="30"/>
      <c r="W183" s="30"/>
      <c r="X183" s="30"/>
      <c r="Y183" s="30"/>
      <c r="Z183" s="30"/>
    </row>
    <row r="184">
      <c r="A184" s="30"/>
      <c r="B184" s="30"/>
      <c r="C184" s="30"/>
      <c r="D184" s="37"/>
      <c r="E184" s="37"/>
      <c r="F184" s="37"/>
      <c r="G184" s="37"/>
      <c r="H184" s="37"/>
      <c r="I184" s="37"/>
      <c r="J184" s="37"/>
      <c r="K184" s="37"/>
      <c r="L184" s="37"/>
      <c r="M184" s="37"/>
      <c r="N184" s="37"/>
      <c r="O184" s="37"/>
      <c r="P184" s="37"/>
      <c r="Q184" s="37"/>
      <c r="T184" s="30"/>
      <c r="U184" s="30"/>
      <c r="V184" s="30"/>
      <c r="W184" s="30"/>
      <c r="X184" s="30"/>
      <c r="Y184" s="30"/>
      <c r="Z184" s="30"/>
    </row>
    <row r="185">
      <c r="A185" s="30"/>
      <c r="B185" s="30"/>
      <c r="C185" s="30"/>
      <c r="D185" s="37"/>
      <c r="E185" s="37"/>
      <c r="F185" s="37"/>
      <c r="G185" s="37"/>
      <c r="H185" s="37"/>
      <c r="I185" s="37"/>
      <c r="J185" s="37"/>
      <c r="K185" s="37"/>
      <c r="L185" s="37"/>
      <c r="M185" s="37"/>
      <c r="N185" s="37"/>
      <c r="O185" s="37"/>
      <c r="P185" s="37"/>
      <c r="Q185" s="37"/>
      <c r="T185" s="30"/>
      <c r="U185" s="30"/>
      <c r="V185" s="30"/>
      <c r="W185" s="30"/>
      <c r="X185" s="30"/>
      <c r="Y185" s="30"/>
      <c r="Z185" s="30"/>
    </row>
    <row r="186">
      <c r="A186" s="30"/>
      <c r="B186" s="30"/>
      <c r="C186" s="30"/>
      <c r="D186" s="37"/>
      <c r="E186" s="37"/>
      <c r="F186" s="37"/>
      <c r="G186" s="37"/>
      <c r="H186" s="37"/>
      <c r="I186" s="37"/>
      <c r="J186" s="37"/>
      <c r="K186" s="37"/>
      <c r="L186" s="37"/>
      <c r="M186" s="37"/>
      <c r="N186" s="37"/>
      <c r="O186" s="37"/>
      <c r="P186" s="37"/>
      <c r="Q186" s="37"/>
      <c r="T186" s="30"/>
      <c r="U186" s="30"/>
      <c r="V186" s="30"/>
      <c r="W186" s="30"/>
      <c r="X186" s="30"/>
      <c r="Y186" s="30"/>
      <c r="Z186" s="30"/>
    </row>
    <row r="187">
      <c r="A187" s="30"/>
      <c r="B187" s="30"/>
      <c r="C187" s="30"/>
      <c r="D187" s="37"/>
      <c r="E187" s="37"/>
      <c r="F187" s="37"/>
      <c r="G187" s="37"/>
      <c r="H187" s="37"/>
      <c r="I187" s="37"/>
      <c r="J187" s="37"/>
      <c r="K187" s="37"/>
      <c r="L187" s="37"/>
      <c r="M187" s="37"/>
      <c r="N187" s="37"/>
      <c r="O187" s="37"/>
      <c r="P187" s="37"/>
      <c r="Q187" s="37"/>
      <c r="T187" s="30"/>
      <c r="U187" s="30"/>
      <c r="V187" s="30"/>
      <c r="W187" s="30"/>
      <c r="X187" s="30"/>
      <c r="Y187" s="30"/>
      <c r="Z187" s="30"/>
    </row>
    <row r="188">
      <c r="A188" s="30"/>
      <c r="B188" s="30"/>
      <c r="C188" s="30"/>
      <c r="D188" s="37"/>
      <c r="E188" s="37"/>
      <c r="F188" s="37"/>
      <c r="G188" s="37"/>
      <c r="H188" s="37"/>
      <c r="I188" s="37"/>
      <c r="J188" s="37"/>
      <c r="K188" s="37"/>
      <c r="L188" s="37"/>
      <c r="M188" s="37"/>
      <c r="N188" s="37"/>
      <c r="O188" s="37"/>
      <c r="P188" s="37"/>
      <c r="Q188" s="37"/>
      <c r="T188" s="30"/>
      <c r="U188" s="30"/>
      <c r="V188" s="30"/>
      <c r="W188" s="30"/>
      <c r="X188" s="30"/>
      <c r="Y188" s="30"/>
      <c r="Z188" s="30"/>
    </row>
    <row r="189">
      <c r="A189" s="30"/>
      <c r="B189" s="30"/>
      <c r="C189" s="30"/>
      <c r="D189" s="37"/>
      <c r="E189" s="37"/>
      <c r="F189" s="37"/>
      <c r="G189" s="37"/>
      <c r="H189" s="37"/>
      <c r="I189" s="37"/>
      <c r="J189" s="37"/>
      <c r="K189" s="37"/>
      <c r="L189" s="37"/>
      <c r="M189" s="37"/>
      <c r="N189" s="37"/>
      <c r="O189" s="37"/>
      <c r="P189" s="37"/>
      <c r="Q189" s="37"/>
      <c r="T189" s="30"/>
      <c r="U189" s="30"/>
      <c r="V189" s="30"/>
      <c r="W189" s="30"/>
      <c r="X189" s="30"/>
      <c r="Y189" s="30"/>
      <c r="Z189" s="30"/>
    </row>
    <row r="190">
      <c r="A190" s="30"/>
      <c r="B190" s="30"/>
      <c r="C190" s="30"/>
      <c r="D190" s="37"/>
      <c r="E190" s="37"/>
      <c r="F190" s="37"/>
      <c r="G190" s="37"/>
      <c r="H190" s="37"/>
      <c r="I190" s="37"/>
      <c r="J190" s="37"/>
      <c r="K190" s="37"/>
      <c r="L190" s="37"/>
      <c r="M190" s="37"/>
      <c r="N190" s="37"/>
      <c r="O190" s="37"/>
      <c r="P190" s="37"/>
      <c r="Q190" s="37"/>
      <c r="T190" s="30"/>
      <c r="U190" s="30"/>
      <c r="V190" s="30"/>
      <c r="W190" s="30"/>
      <c r="X190" s="30"/>
      <c r="Y190" s="30"/>
      <c r="Z190" s="30"/>
    </row>
    <row r="191">
      <c r="A191" s="30"/>
      <c r="B191" s="30"/>
      <c r="C191" s="30"/>
      <c r="D191" s="37"/>
      <c r="E191" s="37"/>
      <c r="F191" s="37"/>
      <c r="G191" s="37"/>
      <c r="H191" s="37"/>
      <c r="I191" s="37"/>
      <c r="J191" s="37"/>
      <c r="K191" s="37"/>
      <c r="L191" s="37"/>
      <c r="M191" s="37"/>
      <c r="N191" s="37"/>
      <c r="O191" s="37"/>
      <c r="P191" s="37"/>
      <c r="Q191" s="37"/>
      <c r="T191" s="30"/>
      <c r="U191" s="30"/>
      <c r="V191" s="30"/>
      <c r="W191" s="30"/>
      <c r="X191" s="30"/>
      <c r="Y191" s="30"/>
      <c r="Z191" s="30"/>
    </row>
    <row r="192">
      <c r="A192" s="30"/>
      <c r="B192" s="30"/>
      <c r="C192" s="30"/>
      <c r="D192" s="37"/>
      <c r="E192" s="37"/>
      <c r="F192" s="37"/>
      <c r="G192" s="37"/>
      <c r="H192" s="37"/>
      <c r="I192" s="37"/>
      <c r="J192" s="37"/>
      <c r="K192" s="37"/>
      <c r="L192" s="37"/>
      <c r="M192" s="37"/>
      <c r="N192" s="37"/>
      <c r="O192" s="37"/>
      <c r="P192" s="37"/>
      <c r="Q192" s="37"/>
      <c r="T192" s="30"/>
      <c r="U192" s="30"/>
      <c r="V192" s="30"/>
      <c r="W192" s="30"/>
      <c r="X192" s="30"/>
      <c r="Y192" s="30"/>
      <c r="Z192" s="30"/>
    </row>
    <row r="193">
      <c r="A193" s="30"/>
      <c r="B193" s="30"/>
      <c r="C193" s="30"/>
      <c r="D193" s="37"/>
      <c r="E193" s="37"/>
      <c r="F193" s="37"/>
      <c r="G193" s="37"/>
      <c r="H193" s="37"/>
      <c r="I193" s="37"/>
      <c r="J193" s="37"/>
      <c r="K193" s="37"/>
      <c r="L193" s="37"/>
      <c r="M193" s="37"/>
      <c r="N193" s="37"/>
      <c r="O193" s="37"/>
      <c r="P193" s="37"/>
      <c r="Q193" s="37"/>
      <c r="T193" s="30"/>
      <c r="U193" s="30"/>
      <c r="V193" s="30"/>
      <c r="W193" s="30"/>
      <c r="X193" s="30"/>
      <c r="Y193" s="30"/>
      <c r="Z193" s="30"/>
    </row>
    <row r="194">
      <c r="A194" s="30"/>
      <c r="B194" s="30"/>
      <c r="C194" s="30"/>
      <c r="D194" s="37"/>
      <c r="E194" s="37"/>
      <c r="F194" s="37"/>
      <c r="G194" s="37"/>
      <c r="H194" s="37"/>
      <c r="I194" s="37"/>
      <c r="J194" s="37"/>
      <c r="K194" s="37"/>
      <c r="L194" s="37"/>
      <c r="M194" s="37"/>
      <c r="N194" s="37"/>
      <c r="O194" s="37"/>
      <c r="P194" s="37"/>
      <c r="Q194" s="37"/>
      <c r="T194" s="30"/>
      <c r="U194" s="30"/>
      <c r="V194" s="30"/>
      <c r="W194" s="30"/>
      <c r="X194" s="30"/>
      <c r="Y194" s="30"/>
      <c r="Z194" s="30"/>
    </row>
    <row r="195">
      <c r="A195" s="30"/>
      <c r="B195" s="30"/>
      <c r="C195" s="30"/>
      <c r="D195" s="37"/>
      <c r="E195" s="37"/>
      <c r="F195" s="37"/>
      <c r="G195" s="37"/>
      <c r="H195" s="37"/>
      <c r="I195" s="37"/>
      <c r="J195" s="37"/>
      <c r="K195" s="37"/>
      <c r="L195" s="37"/>
      <c r="M195" s="37"/>
      <c r="N195" s="37"/>
      <c r="O195" s="37"/>
      <c r="P195" s="37"/>
      <c r="Q195" s="37"/>
      <c r="T195" s="30"/>
      <c r="U195" s="30"/>
      <c r="V195" s="30"/>
      <c r="W195" s="30"/>
      <c r="X195" s="30"/>
      <c r="Y195" s="30"/>
      <c r="Z195" s="30"/>
    </row>
    <row r="196">
      <c r="A196" s="30"/>
      <c r="B196" s="30"/>
      <c r="C196" s="30"/>
      <c r="D196" s="37"/>
      <c r="E196" s="37"/>
      <c r="F196" s="37"/>
      <c r="G196" s="37"/>
      <c r="H196" s="37"/>
      <c r="I196" s="37"/>
      <c r="J196" s="37"/>
      <c r="K196" s="37"/>
      <c r="L196" s="37"/>
      <c r="M196" s="37"/>
      <c r="N196" s="37"/>
      <c r="O196" s="37"/>
      <c r="P196" s="37"/>
      <c r="Q196" s="37"/>
      <c r="T196" s="30"/>
      <c r="U196" s="30"/>
      <c r="V196" s="30"/>
      <c r="W196" s="30"/>
      <c r="X196" s="30"/>
      <c r="Y196" s="30"/>
      <c r="Z196" s="30"/>
    </row>
    <row r="197">
      <c r="A197" s="30"/>
      <c r="B197" s="30"/>
      <c r="C197" s="30"/>
      <c r="D197" s="37"/>
      <c r="E197" s="37"/>
      <c r="F197" s="37"/>
      <c r="G197" s="37"/>
      <c r="H197" s="37"/>
      <c r="I197" s="37"/>
      <c r="J197" s="37"/>
      <c r="K197" s="37"/>
      <c r="L197" s="37"/>
      <c r="M197" s="37"/>
      <c r="N197" s="37"/>
      <c r="O197" s="37"/>
      <c r="P197" s="37"/>
      <c r="Q197" s="37"/>
      <c r="T197" s="30"/>
      <c r="U197" s="30"/>
      <c r="V197" s="30"/>
      <c r="W197" s="30"/>
      <c r="X197" s="30"/>
      <c r="Y197" s="30"/>
      <c r="Z197" s="30"/>
    </row>
    <row r="198">
      <c r="A198" s="30"/>
      <c r="B198" s="30"/>
      <c r="C198" s="30"/>
      <c r="D198" s="37"/>
      <c r="E198" s="37"/>
      <c r="F198" s="37"/>
      <c r="G198" s="37"/>
      <c r="H198" s="37"/>
      <c r="I198" s="37"/>
      <c r="J198" s="37"/>
      <c r="K198" s="37"/>
      <c r="L198" s="37"/>
      <c r="M198" s="37"/>
      <c r="N198" s="37"/>
      <c r="O198" s="37"/>
      <c r="P198" s="37"/>
      <c r="Q198" s="37"/>
      <c r="T198" s="30"/>
      <c r="U198" s="30"/>
      <c r="V198" s="30"/>
      <c r="W198" s="30"/>
      <c r="X198" s="30"/>
      <c r="Y198" s="30"/>
      <c r="Z198" s="30"/>
    </row>
    <row r="199">
      <c r="A199" s="30"/>
      <c r="B199" s="30"/>
      <c r="C199" s="30"/>
      <c r="D199" s="37"/>
      <c r="E199" s="37"/>
      <c r="F199" s="37"/>
      <c r="G199" s="37"/>
      <c r="H199" s="37"/>
      <c r="I199" s="37"/>
      <c r="J199" s="37"/>
      <c r="K199" s="37"/>
      <c r="L199" s="37"/>
      <c r="M199" s="37"/>
      <c r="N199" s="37"/>
      <c r="O199" s="37"/>
      <c r="P199" s="37"/>
      <c r="Q199" s="37"/>
      <c r="T199" s="30"/>
      <c r="U199" s="30"/>
      <c r="V199" s="30"/>
      <c r="W199" s="30"/>
      <c r="X199" s="30"/>
      <c r="Y199" s="30"/>
      <c r="Z199" s="30"/>
    </row>
    <row r="200">
      <c r="A200" s="30"/>
      <c r="B200" s="30"/>
      <c r="C200" s="30"/>
      <c r="D200" s="37"/>
      <c r="E200" s="37"/>
      <c r="F200" s="37"/>
      <c r="G200" s="37"/>
      <c r="H200" s="37"/>
      <c r="I200" s="37"/>
      <c r="J200" s="37"/>
      <c r="K200" s="37"/>
      <c r="L200" s="37"/>
      <c r="M200" s="37"/>
      <c r="N200" s="37"/>
      <c r="O200" s="37"/>
      <c r="P200" s="37"/>
      <c r="Q200" s="37"/>
      <c r="T200" s="30"/>
      <c r="U200" s="30"/>
      <c r="V200" s="30"/>
      <c r="W200" s="30"/>
      <c r="X200" s="30"/>
      <c r="Y200" s="30"/>
      <c r="Z200" s="30"/>
    </row>
    <row r="201">
      <c r="A201" s="30"/>
      <c r="B201" s="30"/>
      <c r="C201" s="30"/>
      <c r="D201" s="37"/>
      <c r="E201" s="37"/>
      <c r="F201" s="37"/>
      <c r="G201" s="37"/>
      <c r="H201" s="37"/>
      <c r="I201" s="37"/>
      <c r="J201" s="37"/>
      <c r="K201" s="37"/>
      <c r="L201" s="37"/>
      <c r="M201" s="37"/>
      <c r="N201" s="37"/>
      <c r="O201" s="37"/>
      <c r="P201" s="37"/>
      <c r="Q201" s="37"/>
      <c r="T201" s="30"/>
      <c r="U201" s="30"/>
      <c r="V201" s="30"/>
      <c r="W201" s="30"/>
      <c r="X201" s="30"/>
      <c r="Y201" s="30"/>
      <c r="Z201" s="30"/>
    </row>
    <row r="202">
      <c r="A202" s="30"/>
      <c r="B202" s="30"/>
      <c r="C202" s="30"/>
      <c r="D202" s="37"/>
      <c r="E202" s="37"/>
      <c r="F202" s="37"/>
      <c r="G202" s="37"/>
      <c r="H202" s="37"/>
      <c r="I202" s="37"/>
      <c r="J202" s="37"/>
      <c r="K202" s="37"/>
      <c r="L202" s="37"/>
      <c r="M202" s="37"/>
      <c r="N202" s="37"/>
      <c r="O202" s="37"/>
      <c r="P202" s="37"/>
      <c r="Q202" s="37"/>
      <c r="T202" s="30"/>
      <c r="U202" s="30"/>
      <c r="V202" s="30"/>
      <c r="W202" s="30"/>
      <c r="X202" s="30"/>
      <c r="Y202" s="30"/>
      <c r="Z202" s="30"/>
    </row>
    <row r="203">
      <c r="A203" s="30"/>
      <c r="B203" s="30"/>
      <c r="C203" s="30"/>
      <c r="D203" s="37"/>
      <c r="E203" s="37"/>
      <c r="F203" s="37"/>
      <c r="G203" s="37"/>
      <c r="H203" s="37"/>
      <c r="I203" s="37"/>
      <c r="J203" s="37"/>
      <c r="K203" s="37"/>
      <c r="L203" s="37"/>
      <c r="M203" s="37"/>
      <c r="N203" s="37"/>
      <c r="O203" s="37"/>
      <c r="P203" s="37"/>
      <c r="Q203" s="37"/>
      <c r="T203" s="30"/>
      <c r="U203" s="30"/>
      <c r="V203" s="30"/>
      <c r="W203" s="30"/>
      <c r="X203" s="30"/>
      <c r="Y203" s="30"/>
      <c r="Z203" s="30"/>
    </row>
    <row r="204">
      <c r="A204" s="30"/>
      <c r="B204" s="30"/>
      <c r="C204" s="30"/>
      <c r="D204" s="37"/>
      <c r="E204" s="37"/>
      <c r="F204" s="37"/>
      <c r="G204" s="37"/>
      <c r="H204" s="37"/>
      <c r="I204" s="37"/>
      <c r="J204" s="37"/>
      <c r="K204" s="37"/>
      <c r="L204" s="37"/>
      <c r="M204" s="37"/>
      <c r="N204" s="37"/>
      <c r="O204" s="37"/>
      <c r="P204" s="37"/>
      <c r="Q204" s="37"/>
      <c r="T204" s="30"/>
      <c r="U204" s="30"/>
      <c r="V204" s="30"/>
      <c r="W204" s="30"/>
      <c r="X204" s="30"/>
      <c r="Y204" s="30"/>
      <c r="Z204" s="30"/>
    </row>
    <row r="205">
      <c r="A205" s="30"/>
      <c r="B205" s="30"/>
      <c r="C205" s="30"/>
      <c r="D205" s="37"/>
      <c r="E205" s="37"/>
      <c r="F205" s="37"/>
      <c r="G205" s="37"/>
      <c r="H205" s="37"/>
      <c r="I205" s="37"/>
      <c r="J205" s="37"/>
      <c r="K205" s="37"/>
      <c r="L205" s="37"/>
      <c r="M205" s="37"/>
      <c r="N205" s="37"/>
      <c r="O205" s="37"/>
      <c r="P205" s="37"/>
      <c r="Q205" s="37"/>
      <c r="T205" s="30"/>
      <c r="U205" s="30"/>
      <c r="V205" s="30"/>
      <c r="W205" s="30"/>
      <c r="X205" s="30"/>
      <c r="Y205" s="30"/>
      <c r="Z205" s="30"/>
    </row>
    <row r="206">
      <c r="A206" s="30"/>
      <c r="B206" s="30"/>
      <c r="C206" s="30"/>
      <c r="D206" s="37"/>
      <c r="E206" s="37"/>
      <c r="F206" s="37"/>
      <c r="G206" s="37"/>
      <c r="H206" s="37"/>
      <c r="I206" s="37"/>
      <c r="J206" s="37"/>
      <c r="K206" s="37"/>
      <c r="L206" s="37"/>
      <c r="M206" s="37"/>
      <c r="N206" s="37"/>
      <c r="O206" s="37"/>
      <c r="P206" s="37"/>
      <c r="Q206" s="37"/>
      <c r="T206" s="30"/>
      <c r="U206" s="30"/>
      <c r="V206" s="30"/>
      <c r="W206" s="30"/>
      <c r="X206" s="30"/>
      <c r="Y206" s="30"/>
      <c r="Z206" s="30"/>
    </row>
    <row r="207">
      <c r="A207" s="30"/>
      <c r="B207" s="30"/>
      <c r="C207" s="30"/>
      <c r="D207" s="37"/>
      <c r="E207" s="37"/>
      <c r="F207" s="37"/>
      <c r="G207" s="37"/>
      <c r="H207" s="37"/>
      <c r="I207" s="37"/>
      <c r="J207" s="37"/>
      <c r="K207" s="37"/>
      <c r="L207" s="37"/>
      <c r="M207" s="37"/>
      <c r="N207" s="37"/>
      <c r="O207" s="37"/>
      <c r="P207" s="37"/>
      <c r="Q207" s="37"/>
      <c r="T207" s="30"/>
      <c r="U207" s="30"/>
      <c r="V207" s="30"/>
      <c r="W207" s="30"/>
      <c r="X207" s="30"/>
      <c r="Y207" s="30"/>
      <c r="Z207" s="30"/>
    </row>
    <row r="208">
      <c r="A208" s="30"/>
      <c r="B208" s="30"/>
      <c r="C208" s="30"/>
      <c r="D208" s="37"/>
      <c r="E208" s="37"/>
      <c r="F208" s="37"/>
      <c r="G208" s="37"/>
      <c r="H208" s="37"/>
      <c r="I208" s="37"/>
      <c r="J208" s="37"/>
      <c r="K208" s="37"/>
      <c r="L208" s="37"/>
      <c r="M208" s="37"/>
      <c r="N208" s="37"/>
      <c r="O208" s="37"/>
      <c r="P208" s="37"/>
      <c r="Q208" s="37"/>
      <c r="T208" s="30"/>
      <c r="U208" s="30"/>
      <c r="V208" s="30"/>
      <c r="W208" s="30"/>
      <c r="X208" s="30"/>
      <c r="Y208" s="30"/>
      <c r="Z208" s="30"/>
    </row>
    <row r="209">
      <c r="A209" s="30"/>
      <c r="B209" s="30"/>
      <c r="C209" s="30"/>
      <c r="D209" s="37"/>
      <c r="E209" s="37"/>
      <c r="F209" s="37"/>
      <c r="G209" s="37"/>
      <c r="H209" s="37"/>
      <c r="I209" s="37"/>
      <c r="J209" s="37"/>
      <c r="K209" s="37"/>
      <c r="L209" s="37"/>
      <c r="M209" s="37"/>
      <c r="N209" s="37"/>
      <c r="O209" s="37"/>
      <c r="P209" s="37"/>
      <c r="Q209" s="37"/>
      <c r="T209" s="30"/>
      <c r="U209" s="30"/>
      <c r="V209" s="30"/>
      <c r="W209" s="30"/>
      <c r="X209" s="30"/>
      <c r="Y209" s="30"/>
      <c r="Z209" s="30"/>
    </row>
    <row r="210">
      <c r="A210" s="30"/>
      <c r="B210" s="30"/>
      <c r="C210" s="30"/>
      <c r="D210" s="37"/>
      <c r="E210" s="37"/>
      <c r="F210" s="37"/>
      <c r="G210" s="37"/>
      <c r="H210" s="37"/>
      <c r="I210" s="37"/>
      <c r="J210" s="37"/>
      <c r="K210" s="37"/>
      <c r="L210" s="37"/>
      <c r="M210" s="37"/>
      <c r="N210" s="37"/>
      <c r="O210" s="37"/>
      <c r="P210" s="37"/>
      <c r="Q210" s="37"/>
      <c r="T210" s="30"/>
      <c r="U210" s="30"/>
      <c r="V210" s="30"/>
      <c r="W210" s="30"/>
      <c r="X210" s="30"/>
      <c r="Y210" s="30"/>
      <c r="Z210" s="30"/>
    </row>
    <row r="211">
      <c r="A211" s="30"/>
      <c r="B211" s="30"/>
      <c r="C211" s="30"/>
      <c r="D211" s="37"/>
      <c r="E211" s="37"/>
      <c r="F211" s="37"/>
      <c r="G211" s="37"/>
      <c r="H211" s="37"/>
      <c r="I211" s="37"/>
      <c r="J211" s="37"/>
      <c r="K211" s="37"/>
      <c r="L211" s="37"/>
      <c r="M211" s="37"/>
      <c r="N211" s="37"/>
      <c r="O211" s="37"/>
      <c r="P211" s="37"/>
      <c r="Q211" s="37"/>
      <c r="T211" s="30"/>
      <c r="U211" s="30"/>
      <c r="V211" s="30"/>
      <c r="W211" s="30"/>
      <c r="X211" s="30"/>
      <c r="Y211" s="30"/>
      <c r="Z211" s="30"/>
    </row>
    <row r="212">
      <c r="A212" s="30"/>
      <c r="B212" s="30"/>
      <c r="C212" s="30"/>
      <c r="D212" s="37"/>
      <c r="E212" s="37"/>
      <c r="F212" s="37"/>
      <c r="G212" s="37"/>
      <c r="H212" s="37"/>
      <c r="I212" s="37"/>
      <c r="J212" s="37"/>
      <c r="K212" s="37"/>
      <c r="L212" s="37"/>
      <c r="M212" s="37"/>
      <c r="N212" s="37"/>
      <c r="O212" s="37"/>
      <c r="P212" s="37"/>
      <c r="Q212" s="37"/>
      <c r="T212" s="30"/>
      <c r="U212" s="30"/>
      <c r="V212" s="30"/>
      <c r="W212" s="30"/>
      <c r="X212" s="30"/>
      <c r="Y212" s="30"/>
      <c r="Z212" s="30"/>
    </row>
    <row r="213">
      <c r="A213" s="30"/>
      <c r="B213" s="30"/>
      <c r="C213" s="30"/>
      <c r="D213" s="37"/>
      <c r="E213" s="37"/>
      <c r="F213" s="37"/>
      <c r="G213" s="37"/>
      <c r="H213" s="37"/>
      <c r="I213" s="37"/>
      <c r="J213" s="37"/>
      <c r="K213" s="37"/>
      <c r="L213" s="37"/>
      <c r="M213" s="37"/>
      <c r="N213" s="37"/>
      <c r="O213" s="37"/>
      <c r="P213" s="37"/>
      <c r="Q213" s="37"/>
      <c r="T213" s="30"/>
      <c r="U213" s="30"/>
      <c r="V213" s="30"/>
      <c r="W213" s="30"/>
      <c r="X213" s="30"/>
      <c r="Y213" s="30"/>
      <c r="Z213" s="30"/>
    </row>
    <row r="214">
      <c r="A214" s="30"/>
      <c r="B214" s="30"/>
      <c r="C214" s="30"/>
      <c r="D214" s="37"/>
      <c r="E214" s="37"/>
      <c r="F214" s="37"/>
      <c r="G214" s="37"/>
      <c r="H214" s="37"/>
      <c r="I214" s="37"/>
      <c r="J214" s="37"/>
      <c r="K214" s="37"/>
      <c r="L214" s="37"/>
      <c r="M214" s="37"/>
      <c r="N214" s="37"/>
      <c r="O214" s="37"/>
      <c r="P214" s="37"/>
      <c r="Q214" s="37"/>
      <c r="T214" s="30"/>
      <c r="U214" s="30"/>
      <c r="V214" s="30"/>
      <c r="W214" s="30"/>
      <c r="X214" s="30"/>
      <c r="Y214" s="30"/>
      <c r="Z214" s="30"/>
    </row>
    <row r="215">
      <c r="A215" s="30"/>
      <c r="B215" s="30"/>
      <c r="C215" s="30"/>
      <c r="D215" s="37"/>
      <c r="E215" s="37"/>
      <c r="F215" s="37"/>
      <c r="G215" s="37"/>
      <c r="H215" s="37"/>
      <c r="I215" s="37"/>
      <c r="J215" s="37"/>
      <c r="K215" s="37"/>
      <c r="L215" s="37"/>
      <c r="M215" s="37"/>
      <c r="N215" s="37"/>
      <c r="O215" s="37"/>
      <c r="P215" s="37"/>
      <c r="Q215" s="37"/>
      <c r="T215" s="30"/>
      <c r="U215" s="30"/>
      <c r="V215" s="30"/>
      <c r="W215" s="30"/>
      <c r="X215" s="30"/>
      <c r="Y215" s="30"/>
      <c r="Z215" s="30"/>
    </row>
    <row r="216">
      <c r="A216" s="30"/>
      <c r="B216" s="30"/>
      <c r="C216" s="30"/>
      <c r="D216" s="37"/>
      <c r="E216" s="37"/>
      <c r="F216" s="37"/>
      <c r="G216" s="37"/>
      <c r="H216" s="37"/>
      <c r="I216" s="37"/>
      <c r="J216" s="37"/>
      <c r="K216" s="37"/>
      <c r="L216" s="37"/>
      <c r="M216" s="37"/>
      <c r="N216" s="37"/>
      <c r="O216" s="37"/>
      <c r="P216" s="37"/>
      <c r="Q216" s="37"/>
      <c r="T216" s="30"/>
      <c r="U216" s="30"/>
      <c r="V216" s="30"/>
      <c r="W216" s="30"/>
      <c r="X216" s="30"/>
      <c r="Y216" s="30"/>
      <c r="Z216" s="30"/>
    </row>
    <row r="217">
      <c r="A217" s="30"/>
      <c r="B217" s="30"/>
      <c r="C217" s="30"/>
      <c r="D217" s="37"/>
      <c r="E217" s="37"/>
      <c r="F217" s="37"/>
      <c r="G217" s="37"/>
      <c r="H217" s="37"/>
      <c r="I217" s="37"/>
      <c r="J217" s="37"/>
      <c r="K217" s="37"/>
      <c r="L217" s="37"/>
      <c r="M217" s="37"/>
      <c r="N217" s="37"/>
      <c r="O217" s="37"/>
      <c r="P217" s="37"/>
      <c r="Q217" s="37"/>
      <c r="T217" s="30"/>
      <c r="U217" s="30"/>
      <c r="V217" s="30"/>
      <c r="W217" s="30"/>
      <c r="X217" s="30"/>
      <c r="Y217" s="30"/>
      <c r="Z217" s="30"/>
    </row>
    <row r="218">
      <c r="A218" s="30"/>
      <c r="B218" s="30"/>
      <c r="C218" s="30"/>
      <c r="D218" s="37"/>
      <c r="E218" s="37"/>
      <c r="F218" s="37"/>
      <c r="G218" s="37"/>
      <c r="H218" s="37"/>
      <c r="I218" s="37"/>
      <c r="J218" s="37"/>
      <c r="K218" s="37"/>
      <c r="L218" s="37"/>
      <c r="M218" s="37"/>
      <c r="N218" s="37"/>
      <c r="O218" s="37"/>
      <c r="P218" s="37"/>
      <c r="Q218" s="37"/>
      <c r="T218" s="30"/>
      <c r="U218" s="30"/>
      <c r="V218" s="30"/>
      <c r="W218" s="30"/>
      <c r="X218" s="30"/>
      <c r="Y218" s="30"/>
      <c r="Z218" s="30"/>
    </row>
    <row r="219">
      <c r="A219" s="30"/>
      <c r="B219" s="30"/>
      <c r="C219" s="30"/>
      <c r="D219" s="37"/>
      <c r="E219" s="37"/>
      <c r="F219" s="37"/>
      <c r="G219" s="37"/>
      <c r="H219" s="37"/>
      <c r="I219" s="37"/>
      <c r="J219" s="37"/>
      <c r="K219" s="37"/>
      <c r="L219" s="37"/>
      <c r="M219" s="37"/>
      <c r="N219" s="37"/>
      <c r="O219" s="37"/>
      <c r="P219" s="37"/>
      <c r="Q219" s="37"/>
      <c r="T219" s="30"/>
      <c r="U219" s="30"/>
      <c r="V219" s="30"/>
      <c r="W219" s="30"/>
      <c r="X219" s="30"/>
      <c r="Y219" s="30"/>
      <c r="Z219" s="30"/>
    </row>
    <row r="220">
      <c r="A220" s="30"/>
      <c r="B220" s="30"/>
      <c r="C220" s="30"/>
      <c r="D220" s="37"/>
      <c r="E220" s="37"/>
      <c r="F220" s="37"/>
      <c r="G220" s="37"/>
      <c r="H220" s="37"/>
      <c r="I220" s="37"/>
      <c r="J220" s="37"/>
      <c r="K220" s="37"/>
      <c r="L220" s="37"/>
      <c r="M220" s="37"/>
      <c r="N220" s="37"/>
      <c r="O220" s="37"/>
      <c r="P220" s="37"/>
      <c r="Q220" s="37"/>
      <c r="T220" s="30"/>
      <c r="U220" s="30"/>
      <c r="V220" s="30"/>
      <c r="W220" s="30"/>
      <c r="X220" s="30"/>
      <c r="Y220" s="30"/>
      <c r="Z220" s="30"/>
    </row>
    <row r="221">
      <c r="A221" s="30"/>
      <c r="B221" s="30"/>
      <c r="C221" s="30"/>
      <c r="D221" s="37"/>
      <c r="E221" s="37"/>
      <c r="F221" s="37"/>
      <c r="G221" s="37"/>
      <c r="H221" s="37"/>
      <c r="I221" s="37"/>
      <c r="J221" s="37"/>
      <c r="K221" s="37"/>
      <c r="L221" s="37"/>
      <c r="M221" s="37"/>
      <c r="N221" s="37"/>
      <c r="O221" s="37"/>
      <c r="P221" s="37"/>
      <c r="Q221" s="37"/>
      <c r="T221" s="30"/>
      <c r="U221" s="30"/>
      <c r="V221" s="30"/>
      <c r="W221" s="30"/>
      <c r="X221" s="30"/>
      <c r="Y221" s="30"/>
      <c r="Z221" s="30"/>
    </row>
    <row r="222">
      <c r="A222" s="30"/>
      <c r="B222" s="30"/>
      <c r="C222" s="30"/>
      <c r="D222" s="37"/>
      <c r="E222" s="37"/>
      <c r="F222" s="37"/>
      <c r="G222" s="37"/>
      <c r="H222" s="37"/>
      <c r="I222" s="37"/>
      <c r="J222" s="37"/>
      <c r="K222" s="37"/>
      <c r="L222" s="37"/>
      <c r="M222" s="37"/>
      <c r="N222" s="37"/>
      <c r="O222" s="37"/>
      <c r="P222" s="37"/>
      <c r="Q222" s="37"/>
      <c r="T222" s="30"/>
      <c r="U222" s="30"/>
      <c r="V222" s="30"/>
      <c r="W222" s="30"/>
      <c r="X222" s="30"/>
      <c r="Y222" s="30"/>
      <c r="Z222" s="30"/>
    </row>
    <row r="223">
      <c r="A223" s="30"/>
      <c r="B223" s="30"/>
      <c r="C223" s="30"/>
      <c r="D223" s="37"/>
      <c r="E223" s="37"/>
      <c r="F223" s="37"/>
      <c r="G223" s="37"/>
      <c r="H223" s="37"/>
      <c r="I223" s="37"/>
      <c r="J223" s="37"/>
      <c r="K223" s="37"/>
      <c r="L223" s="37"/>
      <c r="M223" s="37"/>
      <c r="N223" s="37"/>
      <c r="O223" s="37"/>
      <c r="P223" s="37"/>
      <c r="Q223" s="37"/>
      <c r="T223" s="30"/>
      <c r="U223" s="30"/>
      <c r="V223" s="30"/>
      <c r="W223" s="30"/>
      <c r="X223" s="30"/>
      <c r="Y223" s="30"/>
      <c r="Z223" s="30"/>
    </row>
    <row r="224">
      <c r="A224" s="30"/>
      <c r="B224" s="30"/>
      <c r="C224" s="30"/>
      <c r="D224" s="37"/>
      <c r="E224" s="37"/>
      <c r="F224" s="37"/>
      <c r="G224" s="37"/>
      <c r="H224" s="37"/>
      <c r="I224" s="37"/>
      <c r="J224" s="37"/>
      <c r="K224" s="37"/>
      <c r="L224" s="37"/>
      <c r="M224" s="37"/>
      <c r="N224" s="37"/>
      <c r="O224" s="37"/>
      <c r="P224" s="37"/>
      <c r="Q224" s="37"/>
      <c r="T224" s="30"/>
      <c r="U224" s="30"/>
      <c r="V224" s="30"/>
      <c r="W224" s="30"/>
      <c r="X224" s="30"/>
      <c r="Y224" s="30"/>
      <c r="Z224" s="30"/>
    </row>
    <row r="225">
      <c r="A225" s="30"/>
      <c r="B225" s="30"/>
      <c r="C225" s="30"/>
      <c r="D225" s="37"/>
      <c r="E225" s="37"/>
      <c r="F225" s="37"/>
      <c r="G225" s="37"/>
      <c r="H225" s="37"/>
      <c r="I225" s="37"/>
      <c r="J225" s="37"/>
      <c r="K225" s="37"/>
      <c r="L225" s="37"/>
      <c r="M225" s="37"/>
      <c r="N225" s="37"/>
      <c r="O225" s="37"/>
      <c r="P225" s="37"/>
      <c r="Q225" s="37"/>
      <c r="T225" s="30"/>
      <c r="U225" s="30"/>
      <c r="V225" s="30"/>
      <c r="W225" s="30"/>
      <c r="X225" s="30"/>
      <c r="Y225" s="30"/>
      <c r="Z225" s="30"/>
    </row>
    <row r="226">
      <c r="A226" s="30"/>
      <c r="B226" s="30"/>
      <c r="C226" s="30"/>
      <c r="D226" s="37"/>
      <c r="E226" s="37"/>
      <c r="F226" s="37"/>
      <c r="G226" s="37"/>
      <c r="H226" s="37"/>
      <c r="I226" s="37"/>
      <c r="J226" s="37"/>
      <c r="K226" s="37"/>
      <c r="L226" s="37"/>
      <c r="M226" s="37"/>
      <c r="N226" s="37"/>
      <c r="O226" s="37"/>
      <c r="P226" s="37"/>
      <c r="Q226" s="37"/>
      <c r="T226" s="30"/>
      <c r="U226" s="30"/>
      <c r="V226" s="30"/>
      <c r="W226" s="30"/>
      <c r="X226" s="30"/>
      <c r="Y226" s="30"/>
      <c r="Z226" s="30"/>
    </row>
    <row r="227">
      <c r="A227" s="30"/>
      <c r="B227" s="30"/>
      <c r="C227" s="30"/>
      <c r="D227" s="37"/>
      <c r="E227" s="37"/>
      <c r="F227" s="37"/>
      <c r="G227" s="37"/>
      <c r="H227" s="37"/>
      <c r="I227" s="37"/>
      <c r="J227" s="37"/>
      <c r="K227" s="37"/>
      <c r="L227" s="37"/>
      <c r="M227" s="37"/>
      <c r="N227" s="37"/>
      <c r="O227" s="37"/>
      <c r="P227" s="37"/>
      <c r="Q227" s="37"/>
      <c r="T227" s="30"/>
      <c r="U227" s="30"/>
      <c r="V227" s="30"/>
      <c r="W227" s="30"/>
      <c r="X227" s="30"/>
      <c r="Y227" s="30"/>
      <c r="Z227" s="30"/>
    </row>
    <row r="228">
      <c r="A228" s="30"/>
      <c r="B228" s="30"/>
      <c r="C228" s="30"/>
      <c r="D228" s="37"/>
      <c r="E228" s="37"/>
      <c r="F228" s="37"/>
      <c r="G228" s="37"/>
      <c r="H228" s="37"/>
      <c r="I228" s="37"/>
      <c r="J228" s="37"/>
      <c r="K228" s="37"/>
      <c r="L228" s="37"/>
      <c r="M228" s="37"/>
      <c r="N228" s="37"/>
      <c r="O228" s="37"/>
      <c r="P228" s="37"/>
      <c r="Q228" s="37"/>
      <c r="T228" s="30"/>
      <c r="U228" s="30"/>
      <c r="V228" s="30"/>
      <c r="W228" s="30"/>
      <c r="X228" s="30"/>
      <c r="Y228" s="30"/>
      <c r="Z228" s="30"/>
    </row>
    <row r="229">
      <c r="A229" s="30"/>
      <c r="B229" s="30"/>
      <c r="C229" s="30"/>
      <c r="D229" s="37"/>
      <c r="E229" s="37"/>
      <c r="F229" s="37"/>
      <c r="G229" s="37"/>
      <c r="H229" s="37"/>
      <c r="I229" s="37"/>
      <c r="J229" s="37"/>
      <c r="K229" s="37"/>
      <c r="L229" s="37"/>
      <c r="M229" s="37"/>
      <c r="N229" s="37"/>
      <c r="O229" s="37"/>
      <c r="P229" s="37"/>
      <c r="Q229" s="37"/>
      <c r="T229" s="30"/>
      <c r="U229" s="30"/>
      <c r="V229" s="30"/>
      <c r="W229" s="30"/>
      <c r="X229" s="30"/>
      <c r="Y229" s="30"/>
      <c r="Z229" s="30"/>
    </row>
    <row r="230">
      <c r="A230" s="30"/>
      <c r="B230" s="30"/>
      <c r="C230" s="30"/>
      <c r="D230" s="37"/>
      <c r="E230" s="37"/>
      <c r="F230" s="37"/>
      <c r="G230" s="37"/>
      <c r="H230" s="37"/>
      <c r="I230" s="37"/>
      <c r="J230" s="37"/>
      <c r="K230" s="37"/>
      <c r="L230" s="37"/>
      <c r="M230" s="37"/>
      <c r="N230" s="37"/>
      <c r="O230" s="37"/>
      <c r="P230" s="37"/>
      <c r="Q230" s="37"/>
      <c r="T230" s="30"/>
      <c r="U230" s="30"/>
      <c r="V230" s="30"/>
      <c r="W230" s="30"/>
      <c r="X230" s="30"/>
      <c r="Y230" s="30"/>
      <c r="Z230" s="30"/>
    </row>
    <row r="231">
      <c r="A231" s="30"/>
      <c r="B231" s="30"/>
      <c r="C231" s="30"/>
      <c r="D231" s="37"/>
      <c r="E231" s="37"/>
      <c r="F231" s="37"/>
      <c r="G231" s="37"/>
      <c r="H231" s="37"/>
      <c r="I231" s="37"/>
      <c r="J231" s="37"/>
      <c r="K231" s="37"/>
      <c r="L231" s="37"/>
      <c r="M231" s="37"/>
      <c r="N231" s="37"/>
      <c r="O231" s="37"/>
      <c r="P231" s="37"/>
      <c r="Q231" s="37"/>
      <c r="T231" s="30"/>
      <c r="U231" s="30"/>
      <c r="V231" s="30"/>
      <c r="W231" s="30"/>
      <c r="X231" s="30"/>
      <c r="Y231" s="30"/>
      <c r="Z231" s="30"/>
    </row>
    <row r="232">
      <c r="A232" s="30"/>
      <c r="B232" s="30"/>
      <c r="C232" s="30"/>
      <c r="D232" s="37"/>
      <c r="E232" s="37"/>
      <c r="F232" s="37"/>
      <c r="G232" s="37"/>
      <c r="H232" s="37"/>
      <c r="I232" s="37"/>
      <c r="J232" s="37"/>
      <c r="K232" s="37"/>
      <c r="L232" s="37"/>
      <c r="M232" s="37"/>
      <c r="N232" s="37"/>
      <c r="O232" s="37"/>
      <c r="P232" s="37"/>
      <c r="Q232" s="37"/>
      <c r="T232" s="30"/>
      <c r="U232" s="30"/>
      <c r="V232" s="30"/>
      <c r="W232" s="30"/>
      <c r="X232" s="30"/>
      <c r="Y232" s="30"/>
      <c r="Z232" s="30"/>
    </row>
    <row r="233">
      <c r="A233" s="30"/>
      <c r="B233" s="30"/>
      <c r="C233" s="30"/>
      <c r="D233" s="37"/>
      <c r="E233" s="37"/>
      <c r="F233" s="37"/>
      <c r="G233" s="37"/>
      <c r="H233" s="37"/>
      <c r="I233" s="37"/>
      <c r="J233" s="37"/>
      <c r="K233" s="37"/>
      <c r="L233" s="37"/>
      <c r="M233" s="37"/>
      <c r="N233" s="37"/>
      <c r="O233" s="37"/>
      <c r="P233" s="37"/>
      <c r="Q233" s="37"/>
      <c r="T233" s="30"/>
      <c r="U233" s="30"/>
      <c r="V233" s="30"/>
      <c r="W233" s="30"/>
      <c r="X233" s="30"/>
      <c r="Y233" s="30"/>
      <c r="Z233" s="30"/>
    </row>
    <row r="234">
      <c r="A234" s="30"/>
      <c r="B234" s="30"/>
      <c r="C234" s="30"/>
      <c r="D234" s="37"/>
      <c r="E234" s="37"/>
      <c r="F234" s="37"/>
      <c r="G234" s="37"/>
      <c r="H234" s="37"/>
      <c r="I234" s="37"/>
      <c r="J234" s="37"/>
      <c r="K234" s="37"/>
      <c r="L234" s="37"/>
      <c r="M234" s="37"/>
      <c r="N234" s="37"/>
      <c r="O234" s="37"/>
      <c r="P234" s="37"/>
      <c r="Q234" s="37"/>
      <c r="T234" s="30"/>
      <c r="U234" s="30"/>
      <c r="V234" s="30"/>
      <c r="W234" s="30"/>
      <c r="X234" s="30"/>
      <c r="Y234" s="30"/>
      <c r="Z234" s="30"/>
    </row>
    <row r="235">
      <c r="A235" s="30"/>
      <c r="B235" s="30"/>
      <c r="C235" s="30"/>
      <c r="D235" s="37"/>
      <c r="E235" s="37"/>
      <c r="F235" s="37"/>
      <c r="G235" s="37"/>
      <c r="H235" s="37"/>
      <c r="I235" s="37"/>
      <c r="J235" s="37"/>
      <c r="K235" s="37"/>
      <c r="L235" s="37"/>
      <c r="M235" s="37"/>
      <c r="N235" s="37"/>
      <c r="O235" s="37"/>
      <c r="P235" s="37"/>
      <c r="Q235" s="37"/>
      <c r="T235" s="30"/>
      <c r="U235" s="30"/>
      <c r="V235" s="30"/>
      <c r="W235" s="30"/>
      <c r="X235" s="30"/>
      <c r="Y235" s="30"/>
      <c r="Z235" s="30"/>
    </row>
    <row r="236">
      <c r="A236" s="30"/>
      <c r="B236" s="30"/>
      <c r="C236" s="30"/>
      <c r="D236" s="37"/>
      <c r="E236" s="37"/>
      <c r="F236" s="37"/>
      <c r="G236" s="37"/>
      <c r="H236" s="37"/>
      <c r="I236" s="37"/>
      <c r="J236" s="37"/>
      <c r="K236" s="37"/>
      <c r="L236" s="37"/>
      <c r="M236" s="37"/>
      <c r="N236" s="37"/>
      <c r="O236" s="37"/>
      <c r="P236" s="37"/>
      <c r="Q236" s="37"/>
      <c r="T236" s="30"/>
      <c r="U236" s="30"/>
      <c r="V236" s="30"/>
      <c r="W236" s="30"/>
      <c r="X236" s="30"/>
      <c r="Y236" s="30"/>
      <c r="Z236" s="30"/>
    </row>
    <row r="237">
      <c r="A237" s="30"/>
      <c r="B237" s="30"/>
      <c r="C237" s="30"/>
      <c r="D237" s="37"/>
      <c r="E237" s="37"/>
      <c r="F237" s="37"/>
      <c r="G237" s="37"/>
      <c r="H237" s="37"/>
      <c r="I237" s="37"/>
      <c r="J237" s="37"/>
      <c r="K237" s="37"/>
      <c r="L237" s="37"/>
      <c r="M237" s="37"/>
      <c r="N237" s="37"/>
      <c r="O237" s="37"/>
      <c r="P237" s="37"/>
      <c r="Q237" s="37"/>
      <c r="T237" s="30"/>
      <c r="U237" s="30"/>
      <c r="V237" s="30"/>
      <c r="W237" s="30"/>
      <c r="X237" s="30"/>
      <c r="Y237" s="30"/>
      <c r="Z237" s="30"/>
    </row>
    <row r="238">
      <c r="A238" s="30"/>
      <c r="B238" s="30"/>
      <c r="C238" s="30"/>
      <c r="D238" s="37"/>
      <c r="E238" s="37"/>
      <c r="F238" s="37"/>
      <c r="G238" s="37"/>
      <c r="H238" s="37"/>
      <c r="I238" s="37"/>
      <c r="J238" s="37"/>
      <c r="K238" s="37"/>
      <c r="L238" s="37"/>
      <c r="M238" s="37"/>
      <c r="N238" s="37"/>
      <c r="O238" s="37"/>
      <c r="P238" s="37"/>
      <c r="Q238" s="37"/>
      <c r="T238" s="30"/>
      <c r="U238" s="30"/>
      <c r="V238" s="30"/>
      <c r="W238" s="30"/>
      <c r="X238" s="30"/>
      <c r="Y238" s="30"/>
      <c r="Z238" s="30"/>
    </row>
    <row r="239">
      <c r="A239" s="30"/>
      <c r="B239" s="30"/>
      <c r="C239" s="30"/>
      <c r="D239" s="37"/>
      <c r="E239" s="37"/>
      <c r="F239" s="37"/>
      <c r="G239" s="37"/>
      <c r="H239" s="37"/>
      <c r="I239" s="37"/>
      <c r="J239" s="37"/>
      <c r="K239" s="37"/>
      <c r="L239" s="37"/>
      <c r="M239" s="37"/>
      <c r="N239" s="37"/>
      <c r="O239" s="37"/>
      <c r="P239" s="37"/>
      <c r="Q239" s="37"/>
      <c r="T239" s="30"/>
      <c r="U239" s="30"/>
      <c r="V239" s="30"/>
      <c r="W239" s="30"/>
      <c r="X239" s="30"/>
      <c r="Y239" s="30"/>
      <c r="Z239" s="30"/>
    </row>
    <row r="240">
      <c r="A240" s="30"/>
      <c r="B240" s="30"/>
      <c r="C240" s="30"/>
      <c r="D240" s="37"/>
      <c r="E240" s="37"/>
      <c r="F240" s="37"/>
      <c r="G240" s="37"/>
      <c r="H240" s="37"/>
      <c r="I240" s="37"/>
      <c r="J240" s="37"/>
      <c r="K240" s="37"/>
      <c r="L240" s="37"/>
      <c r="M240" s="37"/>
      <c r="N240" s="37"/>
      <c r="O240" s="37"/>
      <c r="P240" s="37"/>
      <c r="Q240" s="37"/>
      <c r="T240" s="30"/>
      <c r="U240" s="30"/>
      <c r="V240" s="30"/>
      <c r="W240" s="30"/>
      <c r="X240" s="30"/>
      <c r="Y240" s="30"/>
      <c r="Z240" s="30"/>
    </row>
    <row r="241">
      <c r="A241" s="30"/>
      <c r="B241" s="30"/>
      <c r="C241" s="30"/>
      <c r="D241" s="37"/>
      <c r="E241" s="37"/>
      <c r="F241" s="37"/>
      <c r="G241" s="37"/>
      <c r="H241" s="37"/>
      <c r="I241" s="37"/>
      <c r="J241" s="37"/>
      <c r="K241" s="37"/>
      <c r="L241" s="37"/>
      <c r="M241" s="37"/>
      <c r="N241" s="37"/>
      <c r="O241" s="37"/>
      <c r="P241" s="37"/>
      <c r="Q241" s="37"/>
      <c r="T241" s="30"/>
      <c r="U241" s="30"/>
      <c r="V241" s="30"/>
      <c r="W241" s="30"/>
      <c r="X241" s="30"/>
      <c r="Y241" s="30"/>
      <c r="Z241" s="30"/>
    </row>
    <row r="242">
      <c r="A242" s="30"/>
      <c r="B242" s="30"/>
      <c r="C242" s="30"/>
      <c r="D242" s="37"/>
      <c r="E242" s="37"/>
      <c r="F242" s="37"/>
      <c r="G242" s="37"/>
      <c r="H242" s="37"/>
      <c r="I242" s="37"/>
      <c r="J242" s="37"/>
      <c r="K242" s="37"/>
      <c r="L242" s="37"/>
      <c r="M242" s="37"/>
      <c r="N242" s="37"/>
      <c r="O242" s="37"/>
      <c r="P242" s="37"/>
      <c r="Q242" s="37"/>
      <c r="T242" s="30"/>
      <c r="U242" s="30"/>
      <c r="V242" s="30"/>
      <c r="W242" s="30"/>
      <c r="X242" s="30"/>
      <c r="Y242" s="30"/>
      <c r="Z242" s="30"/>
    </row>
    <row r="243">
      <c r="A243" s="30"/>
      <c r="B243" s="30"/>
      <c r="C243" s="30"/>
      <c r="D243" s="37"/>
      <c r="E243" s="37"/>
      <c r="F243" s="37"/>
      <c r="G243" s="37"/>
      <c r="H243" s="37"/>
      <c r="I243" s="37"/>
      <c r="J243" s="37"/>
      <c r="K243" s="37"/>
      <c r="L243" s="37"/>
      <c r="M243" s="37"/>
      <c r="N243" s="37"/>
      <c r="O243" s="37"/>
      <c r="P243" s="37"/>
      <c r="Q243" s="37"/>
      <c r="T243" s="30"/>
      <c r="U243" s="30"/>
      <c r="V243" s="30"/>
      <c r="W243" s="30"/>
      <c r="X243" s="30"/>
      <c r="Y243" s="30"/>
      <c r="Z243" s="30"/>
    </row>
    <row r="244">
      <c r="A244" s="30"/>
      <c r="B244" s="30"/>
      <c r="C244" s="30"/>
      <c r="D244" s="37"/>
      <c r="E244" s="37"/>
      <c r="F244" s="37"/>
      <c r="G244" s="37"/>
      <c r="H244" s="37"/>
      <c r="I244" s="37"/>
      <c r="J244" s="37"/>
      <c r="K244" s="37"/>
      <c r="L244" s="37"/>
      <c r="M244" s="37"/>
      <c r="N244" s="37"/>
      <c r="O244" s="37"/>
      <c r="P244" s="37"/>
      <c r="Q244" s="37"/>
      <c r="T244" s="30"/>
      <c r="U244" s="30"/>
      <c r="V244" s="30"/>
      <c r="W244" s="30"/>
      <c r="X244" s="30"/>
      <c r="Y244" s="30"/>
      <c r="Z244" s="30"/>
    </row>
    <row r="245">
      <c r="A245" s="30"/>
      <c r="B245" s="30"/>
      <c r="C245" s="30"/>
      <c r="D245" s="37"/>
      <c r="E245" s="37"/>
      <c r="F245" s="37"/>
      <c r="G245" s="37"/>
      <c r="H245" s="37"/>
      <c r="I245" s="37"/>
      <c r="J245" s="37"/>
      <c r="K245" s="37"/>
      <c r="L245" s="37"/>
      <c r="M245" s="37"/>
      <c r="N245" s="37"/>
      <c r="O245" s="37"/>
      <c r="P245" s="37"/>
      <c r="Q245" s="37"/>
      <c r="T245" s="30"/>
      <c r="U245" s="30"/>
      <c r="V245" s="30"/>
      <c r="W245" s="30"/>
      <c r="X245" s="30"/>
      <c r="Y245" s="30"/>
      <c r="Z245" s="30"/>
    </row>
    <row r="246">
      <c r="A246" s="30"/>
      <c r="B246" s="30"/>
      <c r="C246" s="30"/>
      <c r="D246" s="37"/>
      <c r="E246" s="37"/>
      <c r="F246" s="37"/>
      <c r="G246" s="37"/>
      <c r="H246" s="37"/>
      <c r="I246" s="37"/>
      <c r="J246" s="37"/>
      <c r="K246" s="37"/>
      <c r="L246" s="37"/>
      <c r="M246" s="37"/>
      <c r="N246" s="37"/>
      <c r="O246" s="37"/>
      <c r="P246" s="37"/>
      <c r="Q246" s="37"/>
      <c r="T246" s="30"/>
      <c r="U246" s="30"/>
      <c r="V246" s="30"/>
      <c r="W246" s="30"/>
      <c r="X246" s="30"/>
      <c r="Y246" s="30"/>
      <c r="Z246" s="30"/>
    </row>
    <row r="247">
      <c r="A247" s="30"/>
      <c r="B247" s="30"/>
      <c r="C247" s="30"/>
      <c r="D247" s="37"/>
      <c r="E247" s="37"/>
      <c r="F247" s="37"/>
      <c r="G247" s="37"/>
      <c r="H247" s="37"/>
      <c r="I247" s="37"/>
      <c r="J247" s="37"/>
      <c r="K247" s="37"/>
      <c r="L247" s="37"/>
      <c r="M247" s="37"/>
      <c r="N247" s="37"/>
      <c r="O247" s="37"/>
      <c r="P247" s="37"/>
      <c r="Q247" s="37"/>
      <c r="T247" s="30"/>
      <c r="U247" s="30"/>
      <c r="V247" s="30"/>
      <c r="W247" s="30"/>
      <c r="X247" s="30"/>
      <c r="Y247" s="30"/>
      <c r="Z247" s="30"/>
    </row>
    <row r="248">
      <c r="A248" s="30"/>
      <c r="B248" s="30"/>
      <c r="C248" s="30"/>
      <c r="D248" s="37"/>
      <c r="E248" s="37"/>
      <c r="F248" s="37"/>
      <c r="G248" s="37"/>
      <c r="H248" s="37"/>
      <c r="I248" s="37"/>
      <c r="J248" s="37"/>
      <c r="K248" s="37"/>
      <c r="L248" s="37"/>
      <c r="M248" s="37"/>
      <c r="N248" s="37"/>
      <c r="O248" s="37"/>
      <c r="P248" s="37"/>
      <c r="Q248" s="37"/>
      <c r="T248" s="30"/>
      <c r="U248" s="30"/>
      <c r="V248" s="30"/>
      <c r="W248" s="30"/>
      <c r="X248" s="30"/>
      <c r="Y248" s="30"/>
      <c r="Z248" s="30"/>
    </row>
    <row r="249">
      <c r="A249" s="30"/>
      <c r="B249" s="30"/>
      <c r="C249" s="30"/>
      <c r="D249" s="37"/>
      <c r="E249" s="37"/>
      <c r="F249" s="37"/>
      <c r="G249" s="37"/>
      <c r="H249" s="37"/>
      <c r="I249" s="37"/>
      <c r="J249" s="37"/>
      <c r="K249" s="37"/>
      <c r="L249" s="37"/>
      <c r="M249" s="37"/>
      <c r="N249" s="37"/>
      <c r="O249" s="37"/>
      <c r="P249" s="37"/>
      <c r="Q249" s="37"/>
      <c r="T249" s="30"/>
      <c r="U249" s="30"/>
      <c r="V249" s="30"/>
      <c r="W249" s="30"/>
      <c r="X249" s="30"/>
      <c r="Y249" s="30"/>
      <c r="Z249" s="30"/>
    </row>
    <row r="250">
      <c r="A250" s="30"/>
      <c r="B250" s="30"/>
      <c r="C250" s="30"/>
      <c r="D250" s="37"/>
      <c r="E250" s="37"/>
      <c r="F250" s="37"/>
      <c r="G250" s="37"/>
      <c r="H250" s="37"/>
      <c r="I250" s="37"/>
      <c r="J250" s="37"/>
      <c r="K250" s="37"/>
      <c r="L250" s="37"/>
      <c r="M250" s="37"/>
      <c r="N250" s="37"/>
      <c r="O250" s="37"/>
      <c r="P250" s="37"/>
      <c r="Q250" s="37"/>
      <c r="T250" s="30"/>
      <c r="U250" s="30"/>
      <c r="V250" s="30"/>
      <c r="W250" s="30"/>
      <c r="X250" s="30"/>
      <c r="Y250" s="30"/>
      <c r="Z250" s="30"/>
    </row>
    <row r="251">
      <c r="A251" s="30"/>
      <c r="B251" s="30"/>
      <c r="C251" s="30"/>
      <c r="D251" s="37"/>
      <c r="E251" s="37"/>
      <c r="F251" s="37"/>
      <c r="G251" s="37"/>
      <c r="H251" s="37"/>
      <c r="I251" s="37"/>
      <c r="J251" s="37"/>
      <c r="K251" s="37"/>
      <c r="L251" s="37"/>
      <c r="M251" s="37"/>
      <c r="N251" s="37"/>
      <c r="O251" s="37"/>
      <c r="P251" s="37"/>
      <c r="Q251" s="37"/>
      <c r="T251" s="30"/>
      <c r="U251" s="30"/>
      <c r="V251" s="30"/>
      <c r="W251" s="30"/>
      <c r="X251" s="30"/>
      <c r="Y251" s="30"/>
      <c r="Z251" s="30"/>
    </row>
    <row r="252">
      <c r="A252" s="30"/>
      <c r="B252" s="30"/>
      <c r="C252" s="30"/>
      <c r="D252" s="37"/>
      <c r="E252" s="37"/>
      <c r="F252" s="37"/>
      <c r="G252" s="37"/>
      <c r="H252" s="37"/>
      <c r="I252" s="37"/>
      <c r="J252" s="37"/>
      <c r="K252" s="37"/>
      <c r="L252" s="37"/>
      <c r="M252" s="37"/>
      <c r="N252" s="37"/>
      <c r="O252" s="37"/>
      <c r="P252" s="37"/>
      <c r="Q252" s="37"/>
      <c r="T252" s="30"/>
      <c r="U252" s="30"/>
      <c r="V252" s="30"/>
      <c r="W252" s="30"/>
      <c r="X252" s="30"/>
      <c r="Y252" s="30"/>
      <c r="Z252" s="30"/>
    </row>
    <row r="253">
      <c r="A253" s="30"/>
      <c r="B253" s="30"/>
      <c r="C253" s="30"/>
      <c r="D253" s="37"/>
      <c r="E253" s="37"/>
      <c r="F253" s="37"/>
      <c r="G253" s="37"/>
      <c r="H253" s="37"/>
      <c r="I253" s="37"/>
      <c r="J253" s="37"/>
      <c r="K253" s="37"/>
      <c r="L253" s="37"/>
      <c r="M253" s="37"/>
      <c r="N253" s="37"/>
      <c r="O253" s="37"/>
      <c r="P253" s="37"/>
      <c r="Q253" s="37"/>
      <c r="T253" s="30"/>
      <c r="U253" s="30"/>
      <c r="V253" s="30"/>
      <c r="W253" s="30"/>
      <c r="X253" s="30"/>
      <c r="Y253" s="30"/>
      <c r="Z253" s="30"/>
    </row>
    <row r="254">
      <c r="A254" s="30"/>
      <c r="B254" s="30"/>
      <c r="C254" s="30"/>
      <c r="D254" s="37"/>
      <c r="E254" s="37"/>
      <c r="F254" s="37"/>
      <c r="G254" s="37"/>
      <c r="H254" s="37"/>
      <c r="I254" s="37"/>
      <c r="J254" s="37"/>
      <c r="K254" s="37"/>
      <c r="L254" s="37"/>
      <c r="M254" s="37"/>
      <c r="N254" s="37"/>
      <c r="O254" s="37"/>
      <c r="P254" s="37"/>
      <c r="Q254" s="37"/>
      <c r="T254" s="30"/>
      <c r="U254" s="30"/>
      <c r="V254" s="30"/>
      <c r="W254" s="30"/>
      <c r="X254" s="30"/>
      <c r="Y254" s="30"/>
      <c r="Z254" s="30"/>
    </row>
    <row r="255">
      <c r="A255" s="30"/>
      <c r="B255" s="30"/>
      <c r="C255" s="30"/>
      <c r="D255" s="37"/>
      <c r="E255" s="37"/>
      <c r="F255" s="37"/>
      <c r="G255" s="37"/>
      <c r="H255" s="37"/>
      <c r="I255" s="37"/>
      <c r="J255" s="37"/>
      <c r="K255" s="37"/>
      <c r="L255" s="37"/>
      <c r="M255" s="37"/>
      <c r="N255" s="37"/>
      <c r="O255" s="37"/>
      <c r="P255" s="37"/>
      <c r="Q255" s="37"/>
      <c r="T255" s="30"/>
      <c r="U255" s="30"/>
      <c r="V255" s="30"/>
      <c r="W255" s="30"/>
      <c r="X255" s="30"/>
      <c r="Y255" s="30"/>
      <c r="Z255" s="30"/>
    </row>
    <row r="256">
      <c r="A256" s="30"/>
      <c r="B256" s="30"/>
      <c r="C256" s="30"/>
      <c r="D256" s="37"/>
      <c r="E256" s="37"/>
      <c r="F256" s="37"/>
      <c r="G256" s="37"/>
      <c r="H256" s="37"/>
      <c r="I256" s="37"/>
      <c r="J256" s="37"/>
      <c r="K256" s="37"/>
      <c r="L256" s="37"/>
      <c r="M256" s="37"/>
      <c r="N256" s="37"/>
      <c r="O256" s="37"/>
      <c r="P256" s="37"/>
      <c r="Q256" s="37"/>
      <c r="T256" s="30"/>
      <c r="U256" s="30"/>
      <c r="V256" s="30"/>
      <c r="W256" s="30"/>
      <c r="X256" s="30"/>
      <c r="Y256" s="30"/>
      <c r="Z256" s="30"/>
    </row>
    <row r="257">
      <c r="A257" s="30"/>
      <c r="B257" s="30"/>
      <c r="C257" s="30"/>
      <c r="D257" s="37"/>
      <c r="E257" s="37"/>
      <c r="F257" s="37"/>
      <c r="G257" s="37"/>
      <c r="H257" s="37"/>
      <c r="I257" s="37"/>
      <c r="J257" s="37"/>
      <c r="K257" s="37"/>
      <c r="L257" s="37"/>
      <c r="M257" s="37"/>
      <c r="N257" s="37"/>
      <c r="O257" s="37"/>
      <c r="P257" s="37"/>
      <c r="Q257" s="37"/>
      <c r="T257" s="30"/>
      <c r="U257" s="30"/>
      <c r="V257" s="30"/>
      <c r="W257" s="30"/>
      <c r="X257" s="30"/>
      <c r="Y257" s="30"/>
      <c r="Z257" s="30"/>
    </row>
    <row r="258">
      <c r="A258" s="30"/>
      <c r="B258" s="30"/>
      <c r="C258" s="30"/>
      <c r="D258" s="37"/>
      <c r="E258" s="37"/>
      <c r="F258" s="37"/>
      <c r="G258" s="37"/>
      <c r="H258" s="37"/>
      <c r="I258" s="37"/>
      <c r="J258" s="37"/>
      <c r="K258" s="37"/>
      <c r="L258" s="37"/>
      <c r="M258" s="37"/>
      <c r="N258" s="37"/>
      <c r="O258" s="37"/>
      <c r="P258" s="37"/>
      <c r="Q258" s="37"/>
      <c r="T258" s="30"/>
      <c r="U258" s="30"/>
      <c r="V258" s="30"/>
      <c r="W258" s="30"/>
      <c r="X258" s="30"/>
      <c r="Y258" s="30"/>
      <c r="Z258" s="30"/>
    </row>
    <row r="259">
      <c r="A259" s="30"/>
      <c r="B259" s="30"/>
      <c r="C259" s="30"/>
      <c r="D259" s="37"/>
      <c r="E259" s="37"/>
      <c r="F259" s="37"/>
      <c r="G259" s="37"/>
      <c r="H259" s="37"/>
      <c r="I259" s="37"/>
      <c r="J259" s="37"/>
      <c r="K259" s="37"/>
      <c r="L259" s="37"/>
      <c r="M259" s="37"/>
      <c r="N259" s="37"/>
      <c r="O259" s="37"/>
      <c r="P259" s="37"/>
      <c r="Q259" s="37"/>
      <c r="T259" s="30"/>
      <c r="U259" s="30"/>
      <c r="V259" s="30"/>
      <c r="W259" s="30"/>
      <c r="X259" s="30"/>
      <c r="Y259" s="30"/>
      <c r="Z259" s="30"/>
    </row>
    <row r="260">
      <c r="A260" s="30"/>
      <c r="B260" s="30"/>
      <c r="C260" s="30"/>
      <c r="D260" s="37"/>
      <c r="E260" s="37"/>
      <c r="F260" s="37"/>
      <c r="G260" s="37"/>
      <c r="H260" s="37"/>
      <c r="I260" s="37"/>
      <c r="J260" s="37"/>
      <c r="K260" s="37"/>
      <c r="L260" s="37"/>
      <c r="M260" s="37"/>
      <c r="N260" s="37"/>
      <c r="O260" s="37"/>
      <c r="P260" s="37"/>
      <c r="Q260" s="37"/>
      <c r="T260" s="30"/>
      <c r="U260" s="30"/>
      <c r="V260" s="30"/>
      <c r="W260" s="30"/>
      <c r="X260" s="30"/>
      <c r="Y260" s="30"/>
      <c r="Z260" s="30"/>
    </row>
    <row r="261">
      <c r="A261" s="30"/>
      <c r="B261" s="30"/>
      <c r="C261" s="30"/>
      <c r="D261" s="37"/>
      <c r="E261" s="37"/>
      <c r="F261" s="37"/>
      <c r="G261" s="37"/>
      <c r="H261" s="37"/>
      <c r="I261" s="37"/>
      <c r="J261" s="37"/>
      <c r="K261" s="37"/>
      <c r="L261" s="37"/>
      <c r="M261" s="37"/>
      <c r="N261" s="37"/>
      <c r="O261" s="37"/>
      <c r="P261" s="37"/>
      <c r="Q261" s="37"/>
      <c r="T261" s="30"/>
      <c r="U261" s="30"/>
      <c r="V261" s="30"/>
      <c r="W261" s="30"/>
      <c r="X261" s="30"/>
      <c r="Y261" s="30"/>
      <c r="Z261" s="30"/>
    </row>
    <row r="262">
      <c r="A262" s="30"/>
      <c r="B262" s="30"/>
      <c r="C262" s="30"/>
      <c r="D262" s="37"/>
      <c r="E262" s="37"/>
      <c r="F262" s="37"/>
      <c r="G262" s="37"/>
      <c r="H262" s="37"/>
      <c r="I262" s="37"/>
      <c r="J262" s="37"/>
      <c r="K262" s="37"/>
      <c r="L262" s="37"/>
      <c r="M262" s="37"/>
      <c r="N262" s="37"/>
      <c r="O262" s="37"/>
      <c r="P262" s="37"/>
      <c r="Q262" s="37"/>
      <c r="T262" s="30"/>
      <c r="U262" s="30"/>
      <c r="V262" s="30"/>
      <c r="W262" s="30"/>
      <c r="X262" s="30"/>
      <c r="Y262" s="30"/>
      <c r="Z262" s="30"/>
    </row>
    <row r="263">
      <c r="A263" s="30"/>
      <c r="B263" s="30"/>
      <c r="C263" s="30"/>
      <c r="D263" s="37"/>
      <c r="E263" s="37"/>
      <c r="F263" s="37"/>
      <c r="G263" s="37"/>
      <c r="H263" s="37"/>
      <c r="I263" s="37"/>
      <c r="J263" s="37"/>
      <c r="K263" s="37"/>
      <c r="L263" s="37"/>
      <c r="M263" s="37"/>
      <c r="N263" s="37"/>
      <c r="O263" s="37"/>
      <c r="P263" s="37"/>
      <c r="Q263" s="37"/>
      <c r="T263" s="30"/>
      <c r="U263" s="30"/>
      <c r="V263" s="30"/>
      <c r="W263" s="30"/>
      <c r="X263" s="30"/>
      <c r="Y263" s="30"/>
      <c r="Z263" s="30"/>
    </row>
    <row r="264">
      <c r="A264" s="30"/>
      <c r="B264" s="30"/>
      <c r="C264" s="30"/>
      <c r="D264" s="37"/>
      <c r="E264" s="37"/>
      <c r="F264" s="37"/>
      <c r="G264" s="37"/>
      <c r="H264" s="37"/>
      <c r="I264" s="37"/>
      <c r="J264" s="37"/>
      <c r="K264" s="37"/>
      <c r="L264" s="37"/>
      <c r="M264" s="37"/>
      <c r="N264" s="37"/>
      <c r="O264" s="37"/>
      <c r="P264" s="37"/>
      <c r="Q264" s="37"/>
      <c r="T264" s="30"/>
      <c r="U264" s="30"/>
      <c r="V264" s="30"/>
      <c r="W264" s="30"/>
      <c r="X264" s="30"/>
      <c r="Y264" s="30"/>
      <c r="Z264" s="30"/>
    </row>
    <row r="265">
      <c r="A265" s="30"/>
      <c r="B265" s="30"/>
      <c r="C265" s="30"/>
      <c r="D265" s="37"/>
      <c r="E265" s="37"/>
      <c r="F265" s="37"/>
      <c r="G265" s="37"/>
      <c r="H265" s="37"/>
      <c r="I265" s="37"/>
      <c r="J265" s="37"/>
      <c r="K265" s="37"/>
      <c r="L265" s="37"/>
      <c r="M265" s="37"/>
      <c r="N265" s="37"/>
      <c r="O265" s="37"/>
      <c r="P265" s="37"/>
      <c r="Q265" s="37"/>
      <c r="T265" s="30"/>
      <c r="U265" s="30"/>
      <c r="V265" s="30"/>
      <c r="W265" s="30"/>
      <c r="X265" s="30"/>
      <c r="Y265" s="30"/>
      <c r="Z265" s="30"/>
    </row>
    <row r="266">
      <c r="A266" s="30"/>
      <c r="B266" s="30"/>
      <c r="C266" s="30"/>
      <c r="D266" s="37"/>
      <c r="E266" s="37"/>
      <c r="F266" s="37"/>
      <c r="G266" s="37"/>
      <c r="H266" s="37"/>
      <c r="I266" s="37"/>
      <c r="J266" s="37"/>
      <c r="K266" s="37"/>
      <c r="L266" s="37"/>
      <c r="M266" s="37"/>
      <c r="N266" s="37"/>
      <c r="O266" s="37"/>
      <c r="P266" s="37"/>
      <c r="Q266" s="37"/>
      <c r="T266" s="30"/>
      <c r="U266" s="30"/>
      <c r="V266" s="30"/>
      <c r="W266" s="30"/>
      <c r="X266" s="30"/>
      <c r="Y266" s="30"/>
      <c r="Z266" s="30"/>
    </row>
    <row r="267">
      <c r="A267" s="30"/>
      <c r="B267" s="30"/>
      <c r="C267" s="30"/>
      <c r="D267" s="37"/>
      <c r="E267" s="37"/>
      <c r="F267" s="37"/>
      <c r="G267" s="37"/>
      <c r="H267" s="37"/>
      <c r="I267" s="37"/>
      <c r="J267" s="37"/>
      <c r="K267" s="37"/>
      <c r="L267" s="37"/>
      <c r="M267" s="37"/>
      <c r="N267" s="37"/>
      <c r="O267" s="37"/>
      <c r="P267" s="37"/>
      <c r="Q267" s="37"/>
      <c r="T267" s="30"/>
      <c r="U267" s="30"/>
      <c r="V267" s="30"/>
      <c r="W267" s="30"/>
      <c r="X267" s="30"/>
      <c r="Y267" s="30"/>
      <c r="Z267" s="30"/>
    </row>
    <row r="268">
      <c r="A268" s="30"/>
      <c r="B268" s="30"/>
      <c r="C268" s="30"/>
      <c r="D268" s="37"/>
      <c r="E268" s="37"/>
      <c r="F268" s="37"/>
      <c r="G268" s="37"/>
      <c r="H268" s="37"/>
      <c r="I268" s="37"/>
      <c r="J268" s="37"/>
      <c r="K268" s="37"/>
      <c r="L268" s="37"/>
      <c r="M268" s="37"/>
      <c r="N268" s="37"/>
      <c r="O268" s="37"/>
      <c r="P268" s="37"/>
      <c r="Q268" s="37"/>
      <c r="T268" s="30"/>
      <c r="U268" s="30"/>
      <c r="V268" s="30"/>
      <c r="W268" s="30"/>
      <c r="X268" s="30"/>
      <c r="Y268" s="30"/>
      <c r="Z268" s="30"/>
    </row>
    <row r="269">
      <c r="A269" s="30"/>
      <c r="B269" s="30"/>
      <c r="C269" s="30"/>
      <c r="D269" s="37"/>
      <c r="E269" s="37"/>
      <c r="F269" s="37"/>
      <c r="G269" s="37"/>
      <c r="H269" s="37"/>
      <c r="I269" s="37"/>
      <c r="J269" s="37"/>
      <c r="K269" s="37"/>
      <c r="L269" s="37"/>
      <c r="M269" s="37"/>
      <c r="N269" s="37"/>
      <c r="O269" s="37"/>
      <c r="P269" s="37"/>
      <c r="Q269" s="37"/>
      <c r="T269" s="30"/>
      <c r="U269" s="30"/>
      <c r="V269" s="30"/>
      <c r="W269" s="30"/>
      <c r="X269" s="30"/>
      <c r="Y269" s="30"/>
      <c r="Z269" s="30"/>
    </row>
    <row r="270">
      <c r="A270" s="30"/>
      <c r="B270" s="30"/>
      <c r="C270" s="30"/>
      <c r="D270" s="37"/>
      <c r="E270" s="37"/>
      <c r="F270" s="37"/>
      <c r="G270" s="37"/>
      <c r="H270" s="37"/>
      <c r="I270" s="37"/>
      <c r="J270" s="37"/>
      <c r="K270" s="37"/>
      <c r="L270" s="37"/>
      <c r="M270" s="37"/>
      <c r="N270" s="37"/>
      <c r="O270" s="37"/>
      <c r="P270" s="37"/>
      <c r="Q270" s="37"/>
      <c r="T270" s="30"/>
      <c r="U270" s="30"/>
      <c r="V270" s="30"/>
      <c r="W270" s="30"/>
      <c r="X270" s="30"/>
      <c r="Y270" s="30"/>
      <c r="Z270" s="30"/>
    </row>
    <row r="271">
      <c r="A271" s="30"/>
      <c r="B271" s="30"/>
      <c r="C271" s="30"/>
      <c r="D271" s="37"/>
      <c r="E271" s="37"/>
      <c r="F271" s="37"/>
      <c r="G271" s="37"/>
      <c r="H271" s="37"/>
      <c r="I271" s="37"/>
      <c r="J271" s="37"/>
      <c r="K271" s="37"/>
      <c r="L271" s="37"/>
      <c r="M271" s="37"/>
      <c r="N271" s="37"/>
      <c r="O271" s="37"/>
      <c r="P271" s="37"/>
      <c r="Q271" s="37"/>
      <c r="T271" s="30"/>
      <c r="U271" s="30"/>
      <c r="V271" s="30"/>
      <c r="W271" s="30"/>
      <c r="X271" s="30"/>
      <c r="Y271" s="30"/>
      <c r="Z271" s="30"/>
    </row>
    <row r="272">
      <c r="A272" s="30"/>
      <c r="B272" s="30"/>
      <c r="C272" s="30"/>
      <c r="D272" s="37"/>
      <c r="E272" s="37"/>
      <c r="F272" s="37"/>
      <c r="G272" s="37"/>
      <c r="H272" s="37"/>
      <c r="I272" s="37"/>
      <c r="J272" s="37"/>
      <c r="K272" s="37"/>
      <c r="L272" s="37"/>
      <c r="M272" s="37"/>
      <c r="N272" s="37"/>
      <c r="O272" s="37"/>
      <c r="P272" s="37"/>
      <c r="Q272" s="37"/>
      <c r="T272" s="30"/>
      <c r="U272" s="30"/>
      <c r="V272" s="30"/>
      <c r="W272" s="30"/>
      <c r="X272" s="30"/>
      <c r="Y272" s="30"/>
      <c r="Z272" s="30"/>
    </row>
    <row r="273">
      <c r="A273" s="30"/>
      <c r="B273" s="30"/>
      <c r="C273" s="30"/>
      <c r="D273" s="37"/>
      <c r="E273" s="37"/>
      <c r="F273" s="37"/>
      <c r="G273" s="37"/>
      <c r="H273" s="37"/>
      <c r="I273" s="37"/>
      <c r="J273" s="37"/>
      <c r="K273" s="37"/>
      <c r="L273" s="37"/>
      <c r="M273" s="37"/>
      <c r="N273" s="37"/>
      <c r="O273" s="37"/>
      <c r="P273" s="37"/>
      <c r="Q273" s="37"/>
      <c r="T273" s="30"/>
      <c r="U273" s="30"/>
      <c r="V273" s="30"/>
      <c r="W273" s="30"/>
      <c r="X273" s="30"/>
      <c r="Y273" s="30"/>
      <c r="Z273" s="30"/>
    </row>
    <row r="274">
      <c r="A274" s="30"/>
      <c r="B274" s="30"/>
      <c r="C274" s="30"/>
      <c r="D274" s="37"/>
      <c r="E274" s="37"/>
      <c r="F274" s="37"/>
      <c r="G274" s="37"/>
      <c r="H274" s="37"/>
      <c r="I274" s="37"/>
      <c r="J274" s="37"/>
      <c r="K274" s="37"/>
      <c r="L274" s="37"/>
      <c r="M274" s="37"/>
      <c r="N274" s="37"/>
      <c r="O274" s="37"/>
      <c r="P274" s="37"/>
      <c r="Q274" s="37"/>
      <c r="T274" s="30"/>
      <c r="U274" s="30"/>
      <c r="V274" s="30"/>
      <c r="W274" s="30"/>
      <c r="X274" s="30"/>
      <c r="Y274" s="30"/>
      <c r="Z274" s="30"/>
    </row>
    <row r="275">
      <c r="A275" s="30"/>
      <c r="B275" s="30"/>
      <c r="C275" s="30"/>
      <c r="D275" s="37"/>
      <c r="E275" s="37"/>
      <c r="F275" s="37"/>
      <c r="G275" s="37"/>
      <c r="H275" s="37"/>
      <c r="I275" s="37"/>
      <c r="J275" s="37"/>
      <c r="K275" s="37"/>
      <c r="L275" s="37"/>
      <c r="M275" s="37"/>
      <c r="N275" s="37"/>
      <c r="O275" s="37"/>
      <c r="P275" s="37"/>
      <c r="Q275" s="37"/>
      <c r="T275" s="30"/>
      <c r="U275" s="30"/>
      <c r="V275" s="30"/>
      <c r="W275" s="30"/>
      <c r="X275" s="30"/>
      <c r="Y275" s="30"/>
      <c r="Z275" s="30"/>
    </row>
    <row r="276">
      <c r="A276" s="30"/>
      <c r="B276" s="30"/>
      <c r="C276" s="30"/>
      <c r="D276" s="37"/>
      <c r="E276" s="37"/>
      <c r="F276" s="37"/>
      <c r="G276" s="37"/>
      <c r="H276" s="37"/>
      <c r="I276" s="37"/>
      <c r="J276" s="37"/>
      <c r="K276" s="37"/>
      <c r="L276" s="37"/>
      <c r="M276" s="37"/>
      <c r="N276" s="37"/>
      <c r="O276" s="37"/>
      <c r="P276" s="37"/>
      <c r="Q276" s="37"/>
      <c r="T276" s="30"/>
      <c r="U276" s="30"/>
      <c r="V276" s="30"/>
      <c r="W276" s="30"/>
      <c r="X276" s="30"/>
      <c r="Y276" s="30"/>
      <c r="Z276" s="30"/>
    </row>
    <row r="277">
      <c r="A277" s="30"/>
      <c r="B277" s="30"/>
      <c r="C277" s="30"/>
      <c r="D277" s="37"/>
      <c r="E277" s="37"/>
      <c r="F277" s="37"/>
      <c r="G277" s="37"/>
      <c r="H277" s="37"/>
      <c r="I277" s="37"/>
      <c r="J277" s="37"/>
      <c r="K277" s="37"/>
      <c r="L277" s="37"/>
      <c r="M277" s="37"/>
      <c r="N277" s="37"/>
      <c r="O277" s="37"/>
      <c r="P277" s="37"/>
      <c r="Q277" s="37"/>
      <c r="T277" s="30"/>
      <c r="U277" s="30"/>
      <c r="V277" s="30"/>
      <c r="W277" s="30"/>
      <c r="X277" s="30"/>
      <c r="Y277" s="30"/>
      <c r="Z277" s="30"/>
    </row>
    <row r="278">
      <c r="A278" s="30"/>
      <c r="B278" s="30"/>
      <c r="C278" s="30"/>
      <c r="D278" s="37"/>
      <c r="E278" s="37"/>
      <c r="F278" s="37"/>
      <c r="G278" s="37"/>
      <c r="H278" s="37"/>
      <c r="I278" s="37"/>
      <c r="J278" s="37"/>
      <c r="K278" s="37"/>
      <c r="L278" s="37"/>
      <c r="M278" s="37"/>
      <c r="N278" s="37"/>
      <c r="O278" s="37"/>
      <c r="P278" s="37"/>
      <c r="Q278" s="37"/>
      <c r="T278" s="30"/>
      <c r="U278" s="30"/>
      <c r="V278" s="30"/>
      <c r="W278" s="30"/>
      <c r="X278" s="30"/>
      <c r="Y278" s="30"/>
      <c r="Z278" s="30"/>
    </row>
    <row r="279">
      <c r="A279" s="30"/>
      <c r="B279" s="30"/>
      <c r="C279" s="30"/>
      <c r="D279" s="37"/>
      <c r="E279" s="37"/>
      <c r="F279" s="37"/>
      <c r="G279" s="37"/>
      <c r="H279" s="37"/>
      <c r="I279" s="37"/>
      <c r="J279" s="37"/>
      <c r="K279" s="37"/>
      <c r="L279" s="37"/>
      <c r="M279" s="37"/>
      <c r="N279" s="37"/>
      <c r="O279" s="37"/>
      <c r="P279" s="37"/>
      <c r="Q279" s="37"/>
      <c r="T279" s="30"/>
      <c r="U279" s="30"/>
      <c r="V279" s="30"/>
      <c r="W279" s="30"/>
      <c r="X279" s="30"/>
      <c r="Y279" s="30"/>
      <c r="Z279" s="30"/>
    </row>
    <row r="280">
      <c r="A280" s="30"/>
      <c r="B280" s="30"/>
      <c r="C280" s="30"/>
      <c r="D280" s="37"/>
      <c r="E280" s="37"/>
      <c r="F280" s="37"/>
      <c r="G280" s="37"/>
      <c r="H280" s="37"/>
      <c r="I280" s="37"/>
      <c r="J280" s="37"/>
      <c r="K280" s="37"/>
      <c r="L280" s="37"/>
      <c r="M280" s="37"/>
      <c r="N280" s="37"/>
      <c r="O280" s="37"/>
      <c r="P280" s="37"/>
      <c r="Q280" s="37"/>
      <c r="T280" s="30"/>
      <c r="U280" s="30"/>
      <c r="V280" s="30"/>
      <c r="W280" s="30"/>
      <c r="X280" s="30"/>
      <c r="Y280" s="30"/>
      <c r="Z280" s="30"/>
    </row>
    <row r="281">
      <c r="A281" s="30"/>
      <c r="B281" s="30"/>
      <c r="C281" s="30"/>
      <c r="D281" s="37"/>
      <c r="E281" s="37"/>
      <c r="F281" s="37"/>
      <c r="G281" s="37"/>
      <c r="H281" s="37"/>
      <c r="I281" s="37"/>
      <c r="J281" s="37"/>
      <c r="K281" s="37"/>
      <c r="L281" s="37"/>
      <c r="M281" s="37"/>
      <c r="N281" s="37"/>
      <c r="O281" s="37"/>
      <c r="P281" s="37"/>
      <c r="Q281" s="37"/>
      <c r="T281" s="30"/>
      <c r="U281" s="30"/>
      <c r="V281" s="30"/>
      <c r="W281" s="30"/>
      <c r="X281" s="30"/>
      <c r="Y281" s="30"/>
      <c r="Z281" s="30"/>
    </row>
    <row r="282">
      <c r="A282" s="30"/>
      <c r="B282" s="30"/>
      <c r="C282" s="30"/>
      <c r="D282" s="37"/>
      <c r="E282" s="37"/>
      <c r="F282" s="37"/>
      <c r="G282" s="37"/>
      <c r="H282" s="37"/>
      <c r="I282" s="37"/>
      <c r="J282" s="37"/>
      <c r="K282" s="37"/>
      <c r="L282" s="37"/>
      <c r="M282" s="37"/>
      <c r="N282" s="37"/>
      <c r="O282" s="37"/>
      <c r="P282" s="37"/>
      <c r="Q282" s="37"/>
      <c r="T282" s="30"/>
      <c r="U282" s="30"/>
      <c r="V282" s="30"/>
      <c r="W282" s="30"/>
      <c r="X282" s="30"/>
      <c r="Y282" s="30"/>
      <c r="Z282" s="30"/>
    </row>
    <row r="283">
      <c r="A283" s="30"/>
      <c r="B283" s="30"/>
      <c r="C283" s="30"/>
      <c r="D283" s="37"/>
      <c r="E283" s="37"/>
      <c r="F283" s="37"/>
      <c r="G283" s="37"/>
      <c r="H283" s="37"/>
      <c r="I283" s="37"/>
      <c r="J283" s="37"/>
      <c r="K283" s="37"/>
      <c r="L283" s="37"/>
      <c r="M283" s="37"/>
      <c r="N283" s="37"/>
      <c r="O283" s="37"/>
      <c r="P283" s="37"/>
      <c r="Q283" s="37"/>
      <c r="T283" s="30"/>
      <c r="U283" s="30"/>
      <c r="V283" s="30"/>
      <c r="W283" s="30"/>
      <c r="X283" s="30"/>
      <c r="Y283" s="30"/>
      <c r="Z283" s="30"/>
    </row>
    <row r="284">
      <c r="A284" s="30"/>
      <c r="B284" s="30"/>
      <c r="C284" s="30"/>
      <c r="D284" s="37"/>
      <c r="E284" s="37"/>
      <c r="F284" s="37"/>
      <c r="G284" s="37"/>
      <c r="H284" s="37"/>
      <c r="I284" s="37"/>
      <c r="J284" s="37"/>
      <c r="K284" s="37"/>
      <c r="L284" s="37"/>
      <c r="M284" s="37"/>
      <c r="N284" s="37"/>
      <c r="O284" s="37"/>
      <c r="P284" s="37"/>
      <c r="Q284" s="37"/>
      <c r="T284" s="30"/>
      <c r="U284" s="30"/>
      <c r="V284" s="30"/>
      <c r="W284" s="30"/>
      <c r="X284" s="30"/>
      <c r="Y284" s="30"/>
      <c r="Z284" s="30"/>
    </row>
    <row r="285">
      <c r="A285" s="30"/>
      <c r="B285" s="30"/>
      <c r="C285" s="30"/>
      <c r="D285" s="37"/>
      <c r="E285" s="37"/>
      <c r="F285" s="37"/>
      <c r="G285" s="37"/>
      <c r="H285" s="37"/>
      <c r="I285" s="37"/>
      <c r="J285" s="37"/>
      <c r="K285" s="37"/>
      <c r="L285" s="37"/>
      <c r="M285" s="37"/>
      <c r="N285" s="37"/>
      <c r="O285" s="37"/>
      <c r="P285" s="37"/>
      <c r="Q285" s="37"/>
      <c r="T285" s="30"/>
      <c r="U285" s="30"/>
      <c r="V285" s="30"/>
      <c r="W285" s="30"/>
      <c r="X285" s="30"/>
      <c r="Y285" s="30"/>
      <c r="Z285" s="30"/>
    </row>
    <row r="286">
      <c r="A286" s="30"/>
      <c r="B286" s="30"/>
      <c r="C286" s="30"/>
      <c r="D286" s="37"/>
      <c r="E286" s="37"/>
      <c r="F286" s="37"/>
      <c r="G286" s="37"/>
      <c r="H286" s="37"/>
      <c r="I286" s="37"/>
      <c r="J286" s="37"/>
      <c r="K286" s="37"/>
      <c r="L286" s="37"/>
      <c r="M286" s="37"/>
      <c r="N286" s="37"/>
      <c r="O286" s="37"/>
      <c r="P286" s="37"/>
      <c r="Q286" s="37"/>
      <c r="T286" s="30"/>
      <c r="U286" s="30"/>
      <c r="V286" s="30"/>
      <c r="W286" s="30"/>
      <c r="X286" s="30"/>
      <c r="Y286" s="30"/>
      <c r="Z286" s="30"/>
    </row>
    <row r="287">
      <c r="A287" s="30"/>
      <c r="B287" s="30"/>
      <c r="C287" s="30"/>
      <c r="D287" s="37"/>
      <c r="E287" s="37"/>
      <c r="F287" s="37"/>
      <c r="G287" s="37"/>
      <c r="H287" s="37"/>
      <c r="I287" s="37"/>
      <c r="J287" s="37"/>
      <c r="K287" s="37"/>
      <c r="L287" s="37"/>
      <c r="M287" s="37"/>
      <c r="N287" s="37"/>
      <c r="O287" s="37"/>
      <c r="P287" s="37"/>
      <c r="Q287" s="37"/>
      <c r="T287" s="30"/>
      <c r="U287" s="30"/>
      <c r="V287" s="30"/>
      <c r="W287" s="30"/>
      <c r="X287" s="30"/>
      <c r="Y287" s="30"/>
      <c r="Z287" s="30"/>
    </row>
    <row r="288">
      <c r="A288" s="30"/>
      <c r="B288" s="30"/>
      <c r="C288" s="30"/>
      <c r="D288" s="37"/>
      <c r="E288" s="37"/>
      <c r="F288" s="37"/>
      <c r="G288" s="37"/>
      <c r="H288" s="37"/>
      <c r="I288" s="37"/>
      <c r="J288" s="37"/>
      <c r="K288" s="37"/>
      <c r="L288" s="37"/>
      <c r="M288" s="37"/>
      <c r="N288" s="37"/>
      <c r="O288" s="37"/>
      <c r="P288" s="37"/>
      <c r="Q288" s="37"/>
      <c r="T288" s="30"/>
      <c r="U288" s="30"/>
      <c r="V288" s="30"/>
      <c r="W288" s="30"/>
      <c r="X288" s="30"/>
      <c r="Y288" s="30"/>
      <c r="Z288" s="30"/>
    </row>
    <row r="289">
      <c r="A289" s="30"/>
      <c r="B289" s="30"/>
      <c r="C289" s="30"/>
      <c r="D289" s="37"/>
      <c r="E289" s="37"/>
      <c r="F289" s="37"/>
      <c r="G289" s="37"/>
      <c r="H289" s="37"/>
      <c r="I289" s="37"/>
      <c r="J289" s="37"/>
      <c r="K289" s="37"/>
      <c r="L289" s="37"/>
      <c r="M289" s="37"/>
      <c r="N289" s="37"/>
      <c r="O289" s="37"/>
      <c r="P289" s="37"/>
      <c r="Q289" s="37"/>
      <c r="T289" s="30"/>
      <c r="U289" s="30"/>
      <c r="V289" s="30"/>
      <c r="W289" s="30"/>
      <c r="X289" s="30"/>
      <c r="Y289" s="30"/>
      <c r="Z289" s="30"/>
    </row>
    <row r="290">
      <c r="A290" s="30"/>
      <c r="B290" s="30"/>
      <c r="C290" s="30"/>
      <c r="D290" s="37"/>
      <c r="E290" s="37"/>
      <c r="F290" s="37"/>
      <c r="G290" s="37"/>
      <c r="H290" s="37"/>
      <c r="I290" s="37"/>
      <c r="J290" s="37"/>
      <c r="K290" s="37"/>
      <c r="L290" s="37"/>
      <c r="M290" s="37"/>
      <c r="N290" s="37"/>
      <c r="O290" s="37"/>
      <c r="P290" s="37"/>
      <c r="Q290" s="37"/>
      <c r="T290" s="30"/>
      <c r="U290" s="30"/>
      <c r="V290" s="30"/>
      <c r="W290" s="30"/>
      <c r="X290" s="30"/>
      <c r="Y290" s="30"/>
      <c r="Z290" s="30"/>
    </row>
    <row r="291">
      <c r="A291" s="30"/>
      <c r="B291" s="30"/>
      <c r="C291" s="30"/>
      <c r="D291" s="37"/>
      <c r="E291" s="37"/>
      <c r="F291" s="37"/>
      <c r="G291" s="37"/>
      <c r="H291" s="37"/>
      <c r="I291" s="37"/>
      <c r="J291" s="37"/>
      <c r="K291" s="37"/>
      <c r="L291" s="37"/>
      <c r="M291" s="37"/>
      <c r="N291" s="37"/>
      <c r="O291" s="37"/>
      <c r="P291" s="37"/>
      <c r="Q291" s="37"/>
      <c r="T291" s="30"/>
      <c r="U291" s="30"/>
      <c r="V291" s="30"/>
      <c r="W291" s="30"/>
      <c r="X291" s="30"/>
      <c r="Y291" s="30"/>
      <c r="Z291" s="30"/>
    </row>
    <row r="292">
      <c r="A292" s="30"/>
      <c r="B292" s="30"/>
      <c r="C292" s="30"/>
      <c r="D292" s="37"/>
      <c r="E292" s="37"/>
      <c r="F292" s="37"/>
      <c r="G292" s="37"/>
      <c r="H292" s="37"/>
      <c r="I292" s="37"/>
      <c r="J292" s="37"/>
      <c r="K292" s="37"/>
      <c r="L292" s="37"/>
      <c r="M292" s="37"/>
      <c r="N292" s="37"/>
      <c r="O292" s="37"/>
      <c r="P292" s="37"/>
      <c r="Q292" s="37"/>
      <c r="T292" s="30"/>
      <c r="U292" s="30"/>
      <c r="V292" s="30"/>
      <c r="W292" s="30"/>
      <c r="X292" s="30"/>
      <c r="Y292" s="30"/>
      <c r="Z292" s="30"/>
    </row>
    <row r="293">
      <c r="A293" s="30"/>
      <c r="B293" s="30"/>
      <c r="C293" s="30"/>
      <c r="D293" s="37"/>
      <c r="E293" s="37"/>
      <c r="F293" s="37"/>
      <c r="G293" s="37"/>
      <c r="H293" s="37"/>
      <c r="I293" s="37"/>
      <c r="J293" s="37"/>
      <c r="K293" s="37"/>
      <c r="L293" s="37"/>
      <c r="M293" s="37"/>
      <c r="N293" s="37"/>
      <c r="O293" s="37"/>
      <c r="P293" s="37"/>
      <c r="Q293" s="37"/>
      <c r="T293" s="30"/>
      <c r="U293" s="30"/>
      <c r="V293" s="30"/>
      <c r="W293" s="30"/>
      <c r="X293" s="30"/>
      <c r="Y293" s="30"/>
      <c r="Z293" s="30"/>
    </row>
    <row r="294">
      <c r="A294" s="30"/>
      <c r="B294" s="30"/>
      <c r="C294" s="30"/>
      <c r="D294" s="37"/>
      <c r="E294" s="37"/>
      <c r="F294" s="37"/>
      <c r="G294" s="37"/>
      <c r="H294" s="37"/>
      <c r="I294" s="37"/>
      <c r="J294" s="37"/>
      <c r="K294" s="37"/>
      <c r="L294" s="37"/>
      <c r="M294" s="37"/>
      <c r="N294" s="37"/>
      <c r="O294" s="37"/>
      <c r="P294" s="37"/>
      <c r="Q294" s="37"/>
      <c r="T294" s="30"/>
      <c r="U294" s="30"/>
      <c r="V294" s="30"/>
      <c r="W294" s="30"/>
      <c r="X294" s="30"/>
      <c r="Y294" s="30"/>
      <c r="Z294" s="30"/>
    </row>
    <row r="295">
      <c r="A295" s="30"/>
      <c r="B295" s="30"/>
      <c r="C295" s="30"/>
      <c r="D295" s="37"/>
      <c r="E295" s="37"/>
      <c r="F295" s="37"/>
      <c r="G295" s="37"/>
      <c r="H295" s="37"/>
      <c r="I295" s="37"/>
      <c r="J295" s="37"/>
      <c r="K295" s="37"/>
      <c r="L295" s="37"/>
      <c r="M295" s="37"/>
      <c r="N295" s="37"/>
      <c r="O295" s="37"/>
      <c r="P295" s="37"/>
      <c r="Q295" s="37"/>
      <c r="T295" s="30"/>
      <c r="U295" s="30"/>
      <c r="V295" s="30"/>
      <c r="W295" s="30"/>
      <c r="X295" s="30"/>
      <c r="Y295" s="30"/>
      <c r="Z295" s="30"/>
    </row>
    <row r="296">
      <c r="A296" s="30"/>
      <c r="B296" s="30"/>
      <c r="C296" s="30"/>
      <c r="D296" s="37"/>
      <c r="E296" s="37"/>
      <c r="F296" s="37"/>
      <c r="G296" s="37"/>
      <c r="H296" s="37"/>
      <c r="I296" s="37"/>
      <c r="J296" s="37"/>
      <c r="K296" s="37"/>
      <c r="L296" s="37"/>
      <c r="M296" s="37"/>
      <c r="N296" s="37"/>
      <c r="O296" s="37"/>
      <c r="P296" s="37"/>
      <c r="Q296" s="37"/>
      <c r="T296" s="30"/>
      <c r="U296" s="30"/>
      <c r="V296" s="30"/>
      <c r="W296" s="30"/>
      <c r="X296" s="30"/>
      <c r="Y296" s="30"/>
      <c r="Z296" s="30"/>
    </row>
    <row r="297">
      <c r="A297" s="30"/>
      <c r="B297" s="30"/>
      <c r="C297" s="30"/>
      <c r="D297" s="37"/>
      <c r="E297" s="37"/>
      <c r="F297" s="37"/>
      <c r="G297" s="37"/>
      <c r="H297" s="37"/>
      <c r="I297" s="37"/>
      <c r="J297" s="37"/>
      <c r="K297" s="37"/>
      <c r="L297" s="37"/>
      <c r="M297" s="37"/>
      <c r="N297" s="37"/>
      <c r="O297" s="37"/>
      <c r="P297" s="37"/>
      <c r="Q297" s="37"/>
      <c r="T297" s="30"/>
      <c r="U297" s="30"/>
      <c r="V297" s="30"/>
      <c r="W297" s="30"/>
      <c r="X297" s="30"/>
      <c r="Y297" s="30"/>
      <c r="Z297" s="30"/>
    </row>
    <row r="298">
      <c r="A298" s="30"/>
      <c r="B298" s="30"/>
      <c r="C298" s="30"/>
      <c r="D298" s="37"/>
      <c r="E298" s="37"/>
      <c r="F298" s="37"/>
      <c r="G298" s="37"/>
      <c r="H298" s="37"/>
      <c r="I298" s="37"/>
      <c r="J298" s="37"/>
      <c r="K298" s="37"/>
      <c r="L298" s="37"/>
      <c r="M298" s="37"/>
      <c r="N298" s="37"/>
      <c r="O298" s="37"/>
      <c r="P298" s="37"/>
      <c r="Q298" s="37"/>
      <c r="T298" s="30"/>
      <c r="U298" s="30"/>
      <c r="V298" s="30"/>
      <c r="W298" s="30"/>
      <c r="X298" s="30"/>
      <c r="Y298" s="30"/>
      <c r="Z298" s="30"/>
    </row>
    <row r="299">
      <c r="A299" s="30"/>
      <c r="B299" s="30"/>
      <c r="C299" s="30"/>
      <c r="D299" s="37"/>
      <c r="E299" s="37"/>
      <c r="F299" s="37"/>
      <c r="G299" s="37"/>
      <c r="H299" s="37"/>
      <c r="I299" s="37"/>
      <c r="J299" s="37"/>
      <c r="K299" s="37"/>
      <c r="L299" s="37"/>
      <c r="M299" s="37"/>
      <c r="N299" s="37"/>
      <c r="O299" s="37"/>
      <c r="P299" s="37"/>
      <c r="Q299" s="37"/>
      <c r="T299" s="30"/>
      <c r="U299" s="30"/>
      <c r="V299" s="30"/>
      <c r="W299" s="30"/>
      <c r="X299" s="30"/>
      <c r="Y299" s="30"/>
      <c r="Z299" s="30"/>
    </row>
    <row r="300">
      <c r="A300" s="30"/>
      <c r="B300" s="30"/>
      <c r="C300" s="30"/>
      <c r="D300" s="37"/>
      <c r="E300" s="37"/>
      <c r="F300" s="37"/>
      <c r="G300" s="37"/>
      <c r="H300" s="37"/>
      <c r="I300" s="37"/>
      <c r="J300" s="37"/>
      <c r="K300" s="37"/>
      <c r="L300" s="37"/>
      <c r="M300" s="37"/>
      <c r="N300" s="37"/>
      <c r="O300" s="37"/>
      <c r="P300" s="37"/>
      <c r="Q300" s="37"/>
      <c r="T300" s="30"/>
      <c r="U300" s="30"/>
      <c r="V300" s="30"/>
      <c r="W300" s="30"/>
      <c r="X300" s="30"/>
      <c r="Y300" s="30"/>
      <c r="Z300" s="30"/>
    </row>
    <row r="301">
      <c r="A301" s="30"/>
      <c r="B301" s="30"/>
      <c r="C301" s="30"/>
      <c r="D301" s="37"/>
      <c r="E301" s="37"/>
      <c r="F301" s="37"/>
      <c r="G301" s="37"/>
      <c r="H301" s="37"/>
      <c r="I301" s="37"/>
      <c r="J301" s="37"/>
      <c r="K301" s="37"/>
      <c r="L301" s="37"/>
      <c r="M301" s="37"/>
      <c r="N301" s="37"/>
      <c r="O301" s="37"/>
      <c r="P301" s="37"/>
      <c r="Q301" s="37"/>
      <c r="T301" s="30"/>
      <c r="U301" s="30"/>
      <c r="V301" s="30"/>
      <c r="W301" s="30"/>
      <c r="X301" s="30"/>
      <c r="Y301" s="30"/>
      <c r="Z301" s="30"/>
    </row>
    <row r="302">
      <c r="A302" s="30"/>
      <c r="B302" s="30"/>
      <c r="C302" s="30"/>
      <c r="D302" s="37"/>
      <c r="E302" s="37"/>
      <c r="F302" s="37"/>
      <c r="G302" s="37"/>
      <c r="H302" s="37"/>
      <c r="I302" s="37"/>
      <c r="J302" s="37"/>
      <c r="K302" s="37"/>
      <c r="L302" s="37"/>
      <c r="M302" s="37"/>
      <c r="N302" s="37"/>
      <c r="O302" s="37"/>
      <c r="P302" s="37"/>
      <c r="Q302" s="37"/>
      <c r="T302" s="30"/>
      <c r="U302" s="30"/>
      <c r="V302" s="30"/>
      <c r="W302" s="30"/>
      <c r="X302" s="30"/>
      <c r="Y302" s="30"/>
      <c r="Z302" s="30"/>
    </row>
    <row r="303">
      <c r="A303" s="30"/>
      <c r="B303" s="30"/>
      <c r="C303" s="30"/>
      <c r="D303" s="37"/>
      <c r="E303" s="37"/>
      <c r="F303" s="37"/>
      <c r="G303" s="37"/>
      <c r="H303" s="37"/>
      <c r="I303" s="37"/>
      <c r="J303" s="37"/>
      <c r="K303" s="37"/>
      <c r="L303" s="37"/>
      <c r="M303" s="37"/>
      <c r="N303" s="37"/>
      <c r="O303" s="37"/>
      <c r="P303" s="37"/>
      <c r="Q303" s="37"/>
      <c r="T303" s="30"/>
      <c r="U303" s="30"/>
      <c r="V303" s="30"/>
      <c r="W303" s="30"/>
      <c r="X303" s="30"/>
      <c r="Y303" s="30"/>
      <c r="Z303" s="30"/>
    </row>
    <row r="304">
      <c r="A304" s="30"/>
      <c r="B304" s="30"/>
      <c r="C304" s="30"/>
      <c r="D304" s="37"/>
      <c r="E304" s="37"/>
      <c r="F304" s="37"/>
      <c r="G304" s="37"/>
      <c r="H304" s="37"/>
      <c r="I304" s="37"/>
      <c r="J304" s="37"/>
      <c r="K304" s="37"/>
      <c r="L304" s="37"/>
      <c r="M304" s="37"/>
      <c r="N304" s="37"/>
      <c r="O304" s="37"/>
      <c r="P304" s="37"/>
      <c r="Q304" s="37"/>
      <c r="T304" s="30"/>
      <c r="U304" s="30"/>
      <c r="V304" s="30"/>
      <c r="W304" s="30"/>
      <c r="X304" s="30"/>
      <c r="Y304" s="30"/>
      <c r="Z304" s="30"/>
    </row>
    <row r="305">
      <c r="A305" s="30"/>
      <c r="B305" s="30"/>
      <c r="C305" s="30"/>
      <c r="D305" s="37"/>
      <c r="E305" s="37"/>
      <c r="F305" s="37"/>
      <c r="G305" s="37"/>
      <c r="H305" s="37"/>
      <c r="I305" s="37"/>
      <c r="J305" s="37"/>
      <c r="K305" s="37"/>
      <c r="L305" s="37"/>
      <c r="M305" s="37"/>
      <c r="N305" s="37"/>
      <c r="O305" s="37"/>
      <c r="P305" s="37"/>
      <c r="Q305" s="37"/>
      <c r="T305" s="30"/>
      <c r="U305" s="30"/>
      <c r="V305" s="30"/>
      <c r="W305" s="30"/>
      <c r="X305" s="30"/>
      <c r="Y305" s="30"/>
      <c r="Z305" s="30"/>
    </row>
    <row r="306">
      <c r="A306" s="30"/>
      <c r="B306" s="30"/>
      <c r="C306" s="30"/>
      <c r="D306" s="37"/>
      <c r="E306" s="37"/>
      <c r="F306" s="37"/>
      <c r="G306" s="37"/>
      <c r="H306" s="37"/>
      <c r="I306" s="37"/>
      <c r="J306" s="37"/>
      <c r="K306" s="37"/>
      <c r="L306" s="37"/>
      <c r="M306" s="37"/>
      <c r="N306" s="37"/>
      <c r="O306" s="37"/>
      <c r="P306" s="37"/>
      <c r="Q306" s="37"/>
      <c r="T306" s="30"/>
      <c r="U306" s="30"/>
      <c r="V306" s="30"/>
      <c r="W306" s="30"/>
      <c r="X306" s="30"/>
      <c r="Y306" s="30"/>
      <c r="Z306" s="30"/>
    </row>
    <row r="307">
      <c r="A307" s="30"/>
      <c r="B307" s="30"/>
      <c r="C307" s="30"/>
      <c r="D307" s="37"/>
      <c r="E307" s="37"/>
      <c r="F307" s="37"/>
      <c r="G307" s="37"/>
      <c r="H307" s="37"/>
      <c r="I307" s="37"/>
      <c r="J307" s="37"/>
      <c r="K307" s="37"/>
      <c r="L307" s="37"/>
      <c r="M307" s="37"/>
      <c r="N307" s="37"/>
      <c r="O307" s="37"/>
      <c r="P307" s="37"/>
      <c r="Q307" s="37"/>
      <c r="T307" s="30"/>
      <c r="U307" s="30"/>
      <c r="V307" s="30"/>
      <c r="W307" s="30"/>
      <c r="X307" s="30"/>
      <c r="Y307" s="30"/>
      <c r="Z307" s="30"/>
    </row>
    <row r="308">
      <c r="A308" s="30"/>
      <c r="B308" s="30"/>
      <c r="C308" s="30"/>
      <c r="D308" s="37"/>
      <c r="E308" s="37"/>
      <c r="F308" s="37"/>
      <c r="G308" s="37"/>
      <c r="H308" s="37"/>
      <c r="I308" s="37"/>
      <c r="J308" s="37"/>
      <c r="K308" s="37"/>
      <c r="L308" s="37"/>
      <c r="M308" s="37"/>
      <c r="N308" s="37"/>
      <c r="O308" s="37"/>
      <c r="P308" s="37"/>
      <c r="Q308" s="37"/>
      <c r="T308" s="30"/>
      <c r="U308" s="30"/>
      <c r="V308" s="30"/>
      <c r="W308" s="30"/>
      <c r="X308" s="30"/>
      <c r="Y308" s="30"/>
      <c r="Z308" s="30"/>
    </row>
    <row r="309">
      <c r="A309" s="30"/>
      <c r="B309" s="30"/>
      <c r="C309" s="30"/>
      <c r="D309" s="37"/>
      <c r="E309" s="37"/>
      <c r="F309" s="37"/>
      <c r="G309" s="37"/>
      <c r="H309" s="37"/>
      <c r="I309" s="37"/>
      <c r="J309" s="37"/>
      <c r="K309" s="37"/>
      <c r="L309" s="37"/>
      <c r="M309" s="37"/>
      <c r="N309" s="37"/>
      <c r="O309" s="37"/>
      <c r="P309" s="37"/>
      <c r="Q309" s="37"/>
      <c r="T309" s="30"/>
      <c r="U309" s="30"/>
      <c r="V309" s="30"/>
      <c r="W309" s="30"/>
      <c r="X309" s="30"/>
      <c r="Y309" s="30"/>
      <c r="Z309" s="30"/>
    </row>
    <row r="310">
      <c r="A310" s="30"/>
      <c r="B310" s="30"/>
      <c r="C310" s="30"/>
      <c r="D310" s="37"/>
      <c r="E310" s="37"/>
      <c r="F310" s="37"/>
      <c r="G310" s="37"/>
      <c r="H310" s="37"/>
      <c r="I310" s="37"/>
      <c r="J310" s="37"/>
      <c r="K310" s="37"/>
      <c r="L310" s="37"/>
      <c r="M310" s="37"/>
      <c r="N310" s="37"/>
      <c r="O310" s="37"/>
      <c r="P310" s="37"/>
      <c r="Q310" s="37"/>
      <c r="T310" s="30"/>
      <c r="U310" s="30"/>
      <c r="V310" s="30"/>
      <c r="W310" s="30"/>
      <c r="X310" s="30"/>
      <c r="Y310" s="30"/>
      <c r="Z310" s="30"/>
    </row>
    <row r="311">
      <c r="A311" s="30"/>
      <c r="B311" s="30"/>
      <c r="C311" s="30"/>
      <c r="D311" s="37"/>
      <c r="E311" s="37"/>
      <c r="F311" s="37"/>
      <c r="G311" s="37"/>
      <c r="H311" s="37"/>
      <c r="I311" s="37"/>
      <c r="J311" s="37"/>
      <c r="K311" s="37"/>
      <c r="L311" s="37"/>
      <c r="M311" s="37"/>
      <c r="N311" s="37"/>
      <c r="O311" s="37"/>
      <c r="P311" s="37"/>
      <c r="Q311" s="37"/>
      <c r="T311" s="30"/>
      <c r="U311" s="30"/>
      <c r="V311" s="30"/>
      <c r="W311" s="30"/>
      <c r="X311" s="30"/>
      <c r="Y311" s="30"/>
      <c r="Z311" s="30"/>
    </row>
    <row r="312">
      <c r="A312" s="30"/>
      <c r="B312" s="30"/>
      <c r="C312" s="30"/>
      <c r="D312" s="37"/>
      <c r="E312" s="37"/>
      <c r="F312" s="37"/>
      <c r="G312" s="37"/>
      <c r="H312" s="37"/>
      <c r="I312" s="37"/>
      <c r="J312" s="37"/>
      <c r="K312" s="37"/>
      <c r="L312" s="37"/>
      <c r="M312" s="37"/>
      <c r="N312" s="37"/>
      <c r="O312" s="37"/>
      <c r="P312" s="37"/>
      <c r="Q312" s="37"/>
      <c r="T312" s="30"/>
      <c r="U312" s="30"/>
      <c r="V312" s="30"/>
      <c r="W312" s="30"/>
      <c r="X312" s="30"/>
      <c r="Y312" s="30"/>
      <c r="Z312" s="30"/>
    </row>
    <row r="313">
      <c r="A313" s="30"/>
      <c r="B313" s="30"/>
      <c r="C313" s="30"/>
      <c r="D313" s="37"/>
      <c r="E313" s="37"/>
      <c r="F313" s="37"/>
      <c r="G313" s="37"/>
      <c r="H313" s="37"/>
      <c r="I313" s="37"/>
      <c r="J313" s="37"/>
      <c r="K313" s="37"/>
      <c r="L313" s="37"/>
      <c r="M313" s="37"/>
      <c r="N313" s="37"/>
      <c r="O313" s="37"/>
      <c r="P313" s="37"/>
      <c r="Q313" s="37"/>
      <c r="T313" s="30"/>
      <c r="U313" s="30"/>
      <c r="V313" s="30"/>
      <c r="W313" s="30"/>
      <c r="X313" s="30"/>
      <c r="Y313" s="30"/>
      <c r="Z313" s="30"/>
    </row>
    <row r="314">
      <c r="A314" s="30"/>
      <c r="B314" s="30"/>
      <c r="C314" s="30"/>
      <c r="D314" s="37"/>
      <c r="E314" s="37"/>
      <c r="F314" s="37"/>
      <c r="G314" s="37"/>
      <c r="H314" s="37"/>
      <c r="I314" s="37"/>
      <c r="J314" s="37"/>
      <c r="K314" s="37"/>
      <c r="L314" s="37"/>
      <c r="M314" s="37"/>
      <c r="N314" s="37"/>
      <c r="O314" s="37"/>
      <c r="P314" s="37"/>
      <c r="Q314" s="37"/>
      <c r="T314" s="30"/>
      <c r="U314" s="30"/>
      <c r="V314" s="30"/>
      <c r="W314" s="30"/>
      <c r="X314" s="30"/>
      <c r="Y314" s="30"/>
      <c r="Z314" s="30"/>
    </row>
    <row r="315">
      <c r="A315" s="30"/>
      <c r="B315" s="30"/>
      <c r="C315" s="30"/>
      <c r="D315" s="37"/>
      <c r="E315" s="37"/>
      <c r="F315" s="37"/>
      <c r="G315" s="37"/>
      <c r="H315" s="37"/>
      <c r="I315" s="37"/>
      <c r="J315" s="37"/>
      <c r="K315" s="37"/>
      <c r="L315" s="37"/>
      <c r="M315" s="37"/>
      <c r="N315" s="37"/>
      <c r="O315" s="37"/>
      <c r="P315" s="37"/>
      <c r="Q315" s="37"/>
      <c r="T315" s="30"/>
      <c r="U315" s="30"/>
      <c r="V315" s="30"/>
      <c r="W315" s="30"/>
      <c r="X315" s="30"/>
      <c r="Y315" s="30"/>
      <c r="Z315" s="30"/>
    </row>
    <row r="316">
      <c r="A316" s="30"/>
      <c r="B316" s="30"/>
      <c r="C316" s="30"/>
      <c r="D316" s="37"/>
      <c r="E316" s="37"/>
      <c r="F316" s="37"/>
      <c r="G316" s="37"/>
      <c r="H316" s="37"/>
      <c r="I316" s="37"/>
      <c r="J316" s="37"/>
      <c r="K316" s="37"/>
      <c r="L316" s="37"/>
      <c r="M316" s="37"/>
      <c r="N316" s="37"/>
      <c r="O316" s="37"/>
      <c r="P316" s="37"/>
      <c r="Q316" s="37"/>
      <c r="T316" s="30"/>
      <c r="U316" s="30"/>
      <c r="V316" s="30"/>
      <c r="W316" s="30"/>
      <c r="X316" s="30"/>
      <c r="Y316" s="30"/>
      <c r="Z316" s="30"/>
    </row>
    <row r="317">
      <c r="A317" s="30"/>
      <c r="B317" s="30"/>
      <c r="C317" s="30"/>
      <c r="D317" s="37"/>
      <c r="E317" s="37"/>
      <c r="F317" s="37"/>
      <c r="G317" s="37"/>
      <c r="H317" s="37"/>
      <c r="I317" s="37"/>
      <c r="J317" s="37"/>
      <c r="K317" s="37"/>
      <c r="L317" s="37"/>
      <c r="M317" s="37"/>
      <c r="N317" s="37"/>
      <c r="O317" s="37"/>
      <c r="P317" s="37"/>
      <c r="Q317" s="37"/>
      <c r="T317" s="30"/>
      <c r="U317" s="30"/>
      <c r="V317" s="30"/>
      <c r="W317" s="30"/>
      <c r="X317" s="30"/>
      <c r="Y317" s="30"/>
      <c r="Z317" s="30"/>
    </row>
    <row r="318">
      <c r="A318" s="30"/>
      <c r="B318" s="30"/>
      <c r="C318" s="30"/>
      <c r="D318" s="37"/>
      <c r="E318" s="37"/>
      <c r="F318" s="37"/>
      <c r="G318" s="37"/>
      <c r="H318" s="37"/>
      <c r="I318" s="37"/>
      <c r="J318" s="37"/>
      <c r="K318" s="37"/>
      <c r="L318" s="37"/>
      <c r="M318" s="37"/>
      <c r="N318" s="37"/>
      <c r="O318" s="37"/>
      <c r="P318" s="37"/>
      <c r="Q318" s="37"/>
      <c r="T318" s="30"/>
      <c r="U318" s="30"/>
      <c r="V318" s="30"/>
      <c r="W318" s="30"/>
      <c r="X318" s="30"/>
      <c r="Y318" s="30"/>
      <c r="Z318" s="30"/>
    </row>
    <row r="319">
      <c r="A319" s="30"/>
      <c r="B319" s="30"/>
      <c r="C319" s="30"/>
      <c r="D319" s="37"/>
      <c r="E319" s="37"/>
      <c r="F319" s="37"/>
      <c r="G319" s="37"/>
      <c r="H319" s="37"/>
      <c r="I319" s="37"/>
      <c r="J319" s="37"/>
      <c r="K319" s="37"/>
      <c r="L319" s="37"/>
      <c r="M319" s="37"/>
      <c r="N319" s="37"/>
      <c r="O319" s="37"/>
      <c r="P319" s="37"/>
      <c r="Q319" s="37"/>
      <c r="T319" s="30"/>
      <c r="U319" s="30"/>
      <c r="V319" s="30"/>
      <c r="W319" s="30"/>
      <c r="X319" s="30"/>
      <c r="Y319" s="30"/>
      <c r="Z319" s="30"/>
    </row>
    <row r="320">
      <c r="A320" s="30"/>
      <c r="B320" s="30"/>
      <c r="C320" s="30"/>
      <c r="D320" s="37"/>
      <c r="E320" s="37"/>
      <c r="F320" s="37"/>
      <c r="G320" s="37"/>
      <c r="H320" s="37"/>
      <c r="I320" s="37"/>
      <c r="J320" s="37"/>
      <c r="K320" s="37"/>
      <c r="L320" s="37"/>
      <c r="M320" s="37"/>
      <c r="N320" s="37"/>
      <c r="O320" s="37"/>
      <c r="P320" s="37"/>
      <c r="Q320" s="37"/>
      <c r="T320" s="30"/>
      <c r="U320" s="30"/>
      <c r="V320" s="30"/>
      <c r="W320" s="30"/>
      <c r="X320" s="30"/>
      <c r="Y320" s="30"/>
      <c r="Z320" s="30"/>
    </row>
    <row r="321">
      <c r="A321" s="30"/>
      <c r="B321" s="30"/>
      <c r="C321" s="30"/>
      <c r="D321" s="37"/>
      <c r="E321" s="37"/>
      <c r="F321" s="37"/>
      <c r="G321" s="37"/>
      <c r="H321" s="37"/>
      <c r="I321" s="37"/>
      <c r="J321" s="37"/>
      <c r="K321" s="37"/>
      <c r="L321" s="37"/>
      <c r="M321" s="37"/>
      <c r="N321" s="37"/>
      <c r="O321" s="37"/>
      <c r="P321" s="37"/>
      <c r="Q321" s="37"/>
      <c r="T321" s="30"/>
      <c r="U321" s="30"/>
      <c r="V321" s="30"/>
      <c r="W321" s="30"/>
      <c r="X321" s="30"/>
      <c r="Y321" s="30"/>
      <c r="Z321" s="30"/>
    </row>
    <row r="322">
      <c r="A322" s="30"/>
      <c r="B322" s="30"/>
      <c r="C322" s="30"/>
      <c r="D322" s="37"/>
      <c r="E322" s="37"/>
      <c r="F322" s="37"/>
      <c r="G322" s="37"/>
      <c r="H322" s="37"/>
      <c r="I322" s="37"/>
      <c r="J322" s="37"/>
      <c r="K322" s="37"/>
      <c r="L322" s="37"/>
      <c r="M322" s="37"/>
      <c r="N322" s="37"/>
      <c r="O322" s="37"/>
      <c r="P322" s="37"/>
      <c r="Q322" s="37"/>
      <c r="T322" s="30"/>
      <c r="U322" s="30"/>
      <c r="V322" s="30"/>
      <c r="W322" s="30"/>
      <c r="X322" s="30"/>
      <c r="Y322" s="30"/>
      <c r="Z322" s="30"/>
    </row>
    <row r="323">
      <c r="A323" s="30"/>
      <c r="B323" s="30"/>
      <c r="C323" s="30"/>
      <c r="D323" s="37"/>
      <c r="E323" s="37"/>
      <c r="F323" s="37"/>
      <c r="G323" s="37"/>
      <c r="H323" s="37"/>
      <c r="I323" s="37"/>
      <c r="J323" s="37"/>
      <c r="K323" s="37"/>
      <c r="L323" s="37"/>
      <c r="M323" s="37"/>
      <c r="N323" s="37"/>
      <c r="O323" s="37"/>
      <c r="P323" s="37"/>
      <c r="Q323" s="37"/>
      <c r="T323" s="30"/>
      <c r="U323" s="30"/>
      <c r="V323" s="30"/>
      <c r="W323" s="30"/>
      <c r="X323" s="30"/>
      <c r="Y323" s="30"/>
      <c r="Z323" s="30"/>
    </row>
    <row r="324">
      <c r="A324" s="30"/>
      <c r="B324" s="30"/>
      <c r="C324" s="30"/>
      <c r="D324" s="37"/>
      <c r="E324" s="37"/>
      <c r="F324" s="37"/>
      <c r="G324" s="37"/>
      <c r="H324" s="37"/>
      <c r="I324" s="37"/>
      <c r="J324" s="37"/>
      <c r="K324" s="37"/>
      <c r="L324" s="37"/>
      <c r="M324" s="37"/>
      <c r="N324" s="37"/>
      <c r="O324" s="37"/>
      <c r="P324" s="37"/>
      <c r="Q324" s="37"/>
      <c r="T324" s="30"/>
      <c r="U324" s="30"/>
      <c r="V324" s="30"/>
      <c r="W324" s="30"/>
      <c r="X324" s="30"/>
      <c r="Y324" s="30"/>
      <c r="Z324" s="30"/>
    </row>
    <row r="325">
      <c r="A325" s="30"/>
      <c r="B325" s="30"/>
      <c r="C325" s="30"/>
      <c r="D325" s="37"/>
      <c r="E325" s="37"/>
      <c r="F325" s="37"/>
      <c r="G325" s="37"/>
      <c r="H325" s="37"/>
      <c r="I325" s="37"/>
      <c r="J325" s="37"/>
      <c r="K325" s="37"/>
      <c r="L325" s="37"/>
      <c r="M325" s="37"/>
      <c r="N325" s="37"/>
      <c r="O325" s="37"/>
      <c r="P325" s="37"/>
      <c r="Q325" s="37"/>
      <c r="T325" s="30"/>
      <c r="U325" s="30"/>
      <c r="V325" s="30"/>
      <c r="W325" s="30"/>
      <c r="X325" s="30"/>
      <c r="Y325" s="30"/>
      <c r="Z325" s="30"/>
    </row>
    <row r="326">
      <c r="A326" s="30"/>
      <c r="B326" s="30"/>
      <c r="C326" s="30"/>
      <c r="D326" s="37"/>
      <c r="E326" s="37"/>
      <c r="F326" s="37"/>
      <c r="G326" s="37"/>
      <c r="H326" s="37"/>
      <c r="I326" s="37"/>
      <c r="J326" s="37"/>
      <c r="K326" s="37"/>
      <c r="L326" s="37"/>
      <c r="M326" s="37"/>
      <c r="N326" s="37"/>
      <c r="O326" s="37"/>
      <c r="P326" s="37"/>
      <c r="Q326" s="37"/>
      <c r="T326" s="30"/>
      <c r="U326" s="30"/>
      <c r="V326" s="30"/>
      <c r="W326" s="30"/>
      <c r="X326" s="30"/>
      <c r="Y326" s="30"/>
      <c r="Z326" s="30"/>
    </row>
    <row r="327">
      <c r="A327" s="30"/>
      <c r="B327" s="30"/>
      <c r="C327" s="30"/>
      <c r="D327" s="37"/>
      <c r="E327" s="37"/>
      <c r="F327" s="37"/>
      <c r="G327" s="37"/>
      <c r="H327" s="37"/>
      <c r="I327" s="37"/>
      <c r="J327" s="37"/>
      <c r="K327" s="37"/>
      <c r="L327" s="37"/>
      <c r="M327" s="37"/>
      <c r="N327" s="37"/>
      <c r="O327" s="37"/>
      <c r="P327" s="37"/>
      <c r="Q327" s="37"/>
      <c r="T327" s="30"/>
      <c r="U327" s="30"/>
      <c r="V327" s="30"/>
      <c r="W327" s="30"/>
      <c r="X327" s="30"/>
      <c r="Y327" s="30"/>
      <c r="Z327" s="30"/>
    </row>
    <row r="328">
      <c r="A328" s="30"/>
      <c r="B328" s="30"/>
      <c r="C328" s="30"/>
      <c r="D328" s="37"/>
      <c r="E328" s="37"/>
      <c r="F328" s="37"/>
      <c r="G328" s="37"/>
      <c r="H328" s="37"/>
      <c r="I328" s="37"/>
      <c r="J328" s="37"/>
      <c r="K328" s="37"/>
      <c r="L328" s="37"/>
      <c r="M328" s="37"/>
      <c r="N328" s="37"/>
      <c r="O328" s="37"/>
      <c r="P328" s="37"/>
      <c r="Q328" s="37"/>
      <c r="T328" s="30"/>
      <c r="U328" s="30"/>
      <c r="V328" s="30"/>
      <c r="W328" s="30"/>
      <c r="X328" s="30"/>
      <c r="Y328" s="30"/>
      <c r="Z328" s="30"/>
    </row>
    <row r="329">
      <c r="A329" s="30"/>
      <c r="B329" s="30"/>
      <c r="C329" s="30"/>
      <c r="D329" s="37"/>
      <c r="E329" s="37"/>
      <c r="F329" s="37"/>
      <c r="G329" s="37"/>
      <c r="H329" s="37"/>
      <c r="I329" s="37"/>
      <c r="J329" s="37"/>
      <c r="K329" s="37"/>
      <c r="L329" s="37"/>
      <c r="M329" s="37"/>
      <c r="N329" s="37"/>
      <c r="O329" s="37"/>
      <c r="P329" s="37"/>
      <c r="Q329" s="37"/>
      <c r="T329" s="30"/>
      <c r="U329" s="30"/>
      <c r="V329" s="30"/>
      <c r="W329" s="30"/>
      <c r="X329" s="30"/>
      <c r="Y329" s="30"/>
      <c r="Z329" s="30"/>
    </row>
    <row r="330">
      <c r="A330" s="30"/>
      <c r="B330" s="30"/>
      <c r="C330" s="30"/>
      <c r="D330" s="37"/>
      <c r="E330" s="37"/>
      <c r="F330" s="37"/>
      <c r="G330" s="37"/>
      <c r="H330" s="37"/>
      <c r="I330" s="37"/>
      <c r="J330" s="37"/>
      <c r="K330" s="37"/>
      <c r="L330" s="37"/>
      <c r="M330" s="37"/>
      <c r="N330" s="37"/>
      <c r="O330" s="37"/>
      <c r="P330" s="37"/>
      <c r="Q330" s="37"/>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T333" s="30"/>
      <c r="U333" s="30"/>
      <c r="V333" s="30"/>
      <c r="W333" s="30"/>
      <c r="X333" s="30"/>
      <c r="Y333" s="30"/>
      <c r="Z333" s="30"/>
    </row>
    <row r="334">
      <c r="A334" s="30"/>
      <c r="B334" s="30"/>
      <c r="C334" s="30"/>
      <c r="D334" s="30"/>
      <c r="E334" s="30"/>
      <c r="T334" s="30"/>
      <c r="U334" s="30"/>
      <c r="V334" s="30"/>
      <c r="W334" s="30"/>
      <c r="X334" s="30"/>
      <c r="Y334" s="30"/>
      <c r="Z334" s="30"/>
    </row>
    <row r="335">
      <c r="A335" s="30"/>
      <c r="B335" s="30"/>
      <c r="C335" s="30"/>
      <c r="D335" s="30"/>
      <c r="E335" s="30"/>
      <c r="T335" s="30"/>
      <c r="U335" s="30"/>
      <c r="V335" s="30"/>
      <c r="W335" s="30"/>
      <c r="X335" s="30"/>
      <c r="Y335" s="30"/>
      <c r="Z335" s="30"/>
    </row>
    <row r="336">
      <c r="A336" s="30"/>
      <c r="B336" s="30"/>
      <c r="C336" s="30"/>
      <c r="D336" s="30"/>
      <c r="E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85.13"/>
  </cols>
  <sheetData>
    <row r="3">
      <c r="A3" s="22" t="s">
        <v>802</v>
      </c>
      <c r="B3" s="22" t="s">
        <v>803</v>
      </c>
      <c r="C3" s="22"/>
      <c r="D3" s="22"/>
      <c r="E3" s="22"/>
      <c r="F3" s="22"/>
      <c r="G3" s="22"/>
      <c r="H3" s="22"/>
      <c r="I3" s="22"/>
      <c r="J3" s="22"/>
      <c r="K3" s="22"/>
      <c r="L3" s="22"/>
      <c r="M3" s="22"/>
      <c r="N3" s="22"/>
      <c r="O3" s="22"/>
      <c r="P3" s="22"/>
      <c r="Q3" s="22"/>
      <c r="R3" s="22"/>
      <c r="S3" s="22"/>
      <c r="T3" s="22"/>
      <c r="U3" s="22"/>
      <c r="V3" s="22"/>
      <c r="W3" s="22"/>
      <c r="X3" s="22"/>
      <c r="Y3" s="22"/>
      <c r="Z3" s="22"/>
      <c r="AA3" s="22"/>
    </row>
    <row r="4" ht="60.0" customHeight="1">
      <c r="A4" s="23" t="s">
        <v>804</v>
      </c>
      <c r="B4" s="24" t="s">
        <v>805</v>
      </c>
    </row>
    <row r="5" ht="364.5" customHeight="1">
      <c r="A5" s="23" t="s">
        <v>806</v>
      </c>
      <c r="B5" s="23" t="s">
        <v>807</v>
      </c>
    </row>
    <row r="6" ht="276.75" customHeight="1">
      <c r="A6" s="25" t="s">
        <v>808</v>
      </c>
      <c r="B6" s="23" t="s">
        <v>809</v>
      </c>
    </row>
    <row r="7" ht="189.75" customHeight="1">
      <c r="A7" s="23" t="s">
        <v>810</v>
      </c>
      <c r="B7" s="23" t="s">
        <v>811</v>
      </c>
    </row>
    <row r="8" ht="194.25" customHeight="1">
      <c r="A8" s="23" t="s">
        <v>812</v>
      </c>
      <c r="B8" s="23" t="s">
        <v>813</v>
      </c>
    </row>
    <row r="9" ht="247.5" customHeight="1">
      <c r="A9" s="23" t="s">
        <v>814</v>
      </c>
      <c r="B9" s="23" t="s">
        <v>815</v>
      </c>
    </row>
    <row r="10">
      <c r="A10" s="26"/>
    </row>
    <row r="11">
      <c r="A11" s="26"/>
    </row>
    <row r="12">
      <c r="A12" s="26"/>
      <c r="B12" s="27"/>
    </row>
    <row r="13">
      <c r="A13" s="26"/>
    </row>
    <row r="14">
      <c r="A14" s="26"/>
    </row>
    <row r="15">
      <c r="A15" s="26"/>
      <c r="B15" s="27"/>
    </row>
    <row r="16">
      <c r="A16" s="26"/>
    </row>
    <row r="17">
      <c r="A17" s="26"/>
    </row>
    <row r="18">
      <c r="A18" s="26"/>
      <c r="B18" s="27"/>
    </row>
    <row r="19">
      <c r="A19" s="26"/>
    </row>
    <row r="20">
      <c r="A20" s="26"/>
    </row>
    <row r="21">
      <c r="A21" s="26"/>
      <c r="B21" s="26"/>
    </row>
    <row r="22">
      <c r="A22" s="26"/>
    </row>
    <row r="23">
      <c r="A23" s="26"/>
    </row>
    <row r="24">
      <c r="A24" s="26"/>
      <c r="B24" s="26"/>
    </row>
    <row r="25">
      <c r="A25" s="26"/>
      <c r="B25" s="26"/>
    </row>
    <row r="26">
      <c r="A26" s="26"/>
      <c r="B26" s="26"/>
    </row>
    <row r="27">
      <c r="A27" s="26"/>
      <c r="B27" s="26"/>
    </row>
    <row r="28">
      <c r="A28" s="26"/>
      <c r="B28" s="26"/>
    </row>
    <row r="29">
      <c r="A29" s="26"/>
      <c r="B29" s="26"/>
    </row>
    <row r="30">
      <c r="A30" s="26"/>
      <c r="B30" s="26"/>
    </row>
    <row r="31">
      <c r="A31" s="26"/>
      <c r="B31" s="26"/>
    </row>
    <row r="32">
      <c r="A32" s="26"/>
      <c r="B32" s="26"/>
    </row>
    <row r="33">
      <c r="A33" s="26"/>
      <c r="B33" s="26"/>
    </row>
    <row r="34">
      <c r="A34" s="26"/>
      <c r="B34" s="26"/>
    </row>
  </sheetData>
  <drawing r:id="rId1"/>
</worksheet>
</file>